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heOrgBook\APISpec\TestData\"/>
    </mc:Choice>
  </mc:AlternateContent>
  <bookViews>
    <workbookView xWindow="0" yWindow="3192" windowWidth="17280" windowHeight="3072" tabRatio="739" activeTab="3" xr2:uid="{00000000-000D-0000-FFFF-FFFF00000000}"/>
  </bookViews>
  <sheets>
    <sheet name="Names" sheetId="59" r:id="rId1"/>
    <sheet name="Restaurant Names" sheetId="60" r:id="rId2"/>
    <sheet name="Claims.csv" sheetId="62" r:id="rId3"/>
    <sheet name="Reg.csv" sheetId="54" r:id="rId4"/>
    <sheet name="Finance.csv" sheetId="55" r:id="rId5"/>
    <sheet name="Liquor.csv" sheetId="57" r:id="rId6"/>
    <sheet name="Health.csv" sheetId="61" r:id="rId7"/>
    <sheet name="City.csv" sheetId="58" r:id="rId8"/>
    <sheet name="Worksafe.csv" sheetId="40" r:id="rId9"/>
    <sheet name="VerifiableClaimType" sheetId="49" r:id="rId10"/>
    <sheet name="InactiveClaimReason.csv" sheetId="50" r:id="rId11"/>
    <sheet name="IssuerService" sheetId="51" r:id="rId12"/>
    <sheet name="Jurisdiction" sheetId="52" r:id="rId13"/>
    <sheet name="users" sheetId="36" r:id="rId14"/>
    <sheet name="roles" sheetId="30" r:id="rId15"/>
    <sheet name="userRole" sheetId="34" r:id="rId16"/>
    <sheet name="permissions" sheetId="29" r:id="rId17"/>
    <sheet name="rolepermission" sheetId="31" r:id="rId18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61" l="1"/>
  <c r="F4" i="61"/>
  <c r="F5" i="61"/>
  <c r="F6" i="61"/>
  <c r="F7" i="61"/>
  <c r="F8" i="61"/>
  <c r="F9" i="61"/>
  <c r="F10" i="61"/>
  <c r="F11" i="61"/>
  <c r="F12" i="61"/>
  <c r="F13" i="61"/>
  <c r="F14" i="61"/>
  <c r="F15" i="61"/>
  <c r="F16" i="61"/>
  <c r="F17" i="61"/>
  <c r="F18" i="61"/>
  <c r="F19" i="61"/>
  <c r="F20" i="61"/>
  <c r="F21" i="61"/>
  <c r="F22" i="61"/>
  <c r="F23" i="61"/>
  <c r="F24" i="61"/>
  <c r="F25" i="61"/>
  <c r="F26" i="61"/>
  <c r="F27" i="61"/>
  <c r="F28" i="61"/>
  <c r="F29" i="61"/>
  <c r="F30" i="61"/>
  <c r="F31" i="61"/>
  <c r="F32" i="61"/>
  <c r="F33" i="61"/>
  <c r="F34" i="61"/>
  <c r="F35" i="61"/>
  <c r="F36" i="61"/>
  <c r="F37" i="61"/>
  <c r="F38" i="61"/>
  <c r="F39" i="61"/>
  <c r="F40" i="61"/>
  <c r="F41" i="61"/>
  <c r="F42" i="61"/>
  <c r="F43" i="61"/>
  <c r="F44" i="61"/>
  <c r="F45" i="61"/>
  <c r="F46" i="61"/>
  <c r="F47" i="61"/>
  <c r="F48" i="61"/>
  <c r="F49" i="61"/>
  <c r="F50" i="61"/>
  <c r="F51" i="61"/>
  <c r="F52" i="61"/>
  <c r="F53" i="61"/>
  <c r="F54" i="61"/>
  <c r="F55" i="61"/>
  <c r="F56" i="61"/>
  <c r="F57" i="61"/>
  <c r="F58" i="61"/>
  <c r="F59" i="61"/>
  <c r="F2" i="61"/>
  <c r="F3" i="57"/>
  <c r="H3" i="57"/>
  <c r="I3" i="57"/>
  <c r="K3" i="57"/>
  <c r="L3" i="57"/>
  <c r="M3" i="57"/>
  <c r="F4" i="57"/>
  <c r="H4" i="57"/>
  <c r="I4" i="57"/>
  <c r="K4" i="57"/>
  <c r="L4" i="57"/>
  <c r="M4" i="57"/>
  <c r="F5" i="57"/>
  <c r="H5" i="57"/>
  <c r="I5" i="57"/>
  <c r="K5" i="57"/>
  <c r="L5" i="57"/>
  <c r="M5" i="57"/>
  <c r="F6" i="57"/>
  <c r="H6" i="57"/>
  <c r="I6" i="57"/>
  <c r="K6" i="57"/>
  <c r="L6" i="57"/>
  <c r="M6" i="57"/>
  <c r="F7" i="57"/>
  <c r="H7" i="57"/>
  <c r="I7" i="57"/>
  <c r="K7" i="57"/>
  <c r="L7" i="57"/>
  <c r="M7" i="57"/>
  <c r="F8" i="57"/>
  <c r="H8" i="57"/>
  <c r="I8" i="57"/>
  <c r="K8" i="57"/>
  <c r="L8" i="57"/>
  <c r="M8" i="57"/>
  <c r="F9" i="57"/>
  <c r="H9" i="57"/>
  <c r="I9" i="57"/>
  <c r="K9" i="57"/>
  <c r="L9" i="57"/>
  <c r="M9" i="57"/>
  <c r="F10" i="57"/>
  <c r="H10" i="57"/>
  <c r="I10" i="57"/>
  <c r="K10" i="57"/>
  <c r="L10" i="57"/>
  <c r="M10" i="57"/>
  <c r="F11" i="57"/>
  <c r="H11" i="57"/>
  <c r="I11" i="57"/>
  <c r="K11" i="57"/>
  <c r="L11" i="57"/>
  <c r="M11" i="57"/>
  <c r="F12" i="57"/>
  <c r="H12" i="57"/>
  <c r="I12" i="57"/>
  <c r="K12" i="57"/>
  <c r="L12" i="57"/>
  <c r="M12" i="57"/>
  <c r="F13" i="57"/>
  <c r="H13" i="57"/>
  <c r="I13" i="57"/>
  <c r="K13" i="57"/>
  <c r="L13" i="57"/>
  <c r="M13" i="57"/>
  <c r="F14" i="57"/>
  <c r="H14" i="57"/>
  <c r="I14" i="57"/>
  <c r="K14" i="57"/>
  <c r="L14" i="57"/>
  <c r="M14" i="57"/>
  <c r="F15" i="57"/>
  <c r="H15" i="57"/>
  <c r="I15" i="57"/>
  <c r="K15" i="57"/>
  <c r="L15" i="57"/>
  <c r="M15" i="57"/>
  <c r="F16" i="57"/>
  <c r="H16" i="57"/>
  <c r="I16" i="57"/>
  <c r="K16" i="57"/>
  <c r="L16" i="57"/>
  <c r="M16" i="57"/>
  <c r="F17" i="57"/>
  <c r="H17" i="57"/>
  <c r="I17" i="57"/>
  <c r="K17" i="57"/>
  <c r="L17" i="57"/>
  <c r="M17" i="57"/>
  <c r="F18" i="57"/>
  <c r="H18" i="57"/>
  <c r="I18" i="57"/>
  <c r="K18" i="57"/>
  <c r="L18" i="57"/>
  <c r="M18" i="57"/>
  <c r="F19" i="57"/>
  <c r="H19" i="57"/>
  <c r="I19" i="57"/>
  <c r="K19" i="57"/>
  <c r="L19" i="57"/>
  <c r="M19" i="57"/>
  <c r="F20" i="57"/>
  <c r="H20" i="57"/>
  <c r="I20" i="57"/>
  <c r="K20" i="57"/>
  <c r="L20" i="57"/>
  <c r="M20" i="57"/>
  <c r="F21" i="57"/>
  <c r="H21" i="57"/>
  <c r="I21" i="57"/>
  <c r="K21" i="57"/>
  <c r="L21" i="57"/>
  <c r="M21" i="57"/>
  <c r="F22" i="57"/>
  <c r="H22" i="57"/>
  <c r="I22" i="57"/>
  <c r="K22" i="57"/>
  <c r="L22" i="57"/>
  <c r="M22" i="57"/>
  <c r="F23" i="57"/>
  <c r="H23" i="57"/>
  <c r="I23" i="57"/>
  <c r="K23" i="57"/>
  <c r="L23" i="57"/>
  <c r="M23" i="57"/>
  <c r="F24" i="57"/>
  <c r="H24" i="57"/>
  <c r="I24" i="57"/>
  <c r="K24" i="57"/>
  <c r="L24" i="57"/>
  <c r="M24" i="57"/>
  <c r="F25" i="57"/>
  <c r="H25" i="57"/>
  <c r="I25" i="57"/>
  <c r="K25" i="57"/>
  <c r="L25" i="57"/>
  <c r="M25" i="57"/>
  <c r="F26" i="57"/>
  <c r="H26" i="57"/>
  <c r="I26" i="57"/>
  <c r="K26" i="57"/>
  <c r="L26" i="57"/>
  <c r="M26" i="57"/>
  <c r="F27" i="57"/>
  <c r="H27" i="57"/>
  <c r="I27" i="57"/>
  <c r="K27" i="57"/>
  <c r="L27" i="57"/>
  <c r="M27" i="57"/>
  <c r="F28" i="57"/>
  <c r="H28" i="57"/>
  <c r="I28" i="57"/>
  <c r="K28" i="57"/>
  <c r="L28" i="57"/>
  <c r="M28" i="57"/>
  <c r="F29" i="57"/>
  <c r="H29" i="57"/>
  <c r="I29" i="57"/>
  <c r="K29" i="57"/>
  <c r="L29" i="57"/>
  <c r="M29" i="57"/>
  <c r="F30" i="57"/>
  <c r="H30" i="57"/>
  <c r="I30" i="57"/>
  <c r="K30" i="57"/>
  <c r="L30" i="57"/>
  <c r="M30" i="57"/>
  <c r="F31" i="57"/>
  <c r="H31" i="57"/>
  <c r="I31" i="57"/>
  <c r="K31" i="57"/>
  <c r="L31" i="57"/>
  <c r="M31" i="57"/>
  <c r="F32" i="57"/>
  <c r="H32" i="57"/>
  <c r="I32" i="57"/>
  <c r="K32" i="57"/>
  <c r="L32" i="57"/>
  <c r="M32" i="57"/>
  <c r="F33" i="57"/>
  <c r="H33" i="57"/>
  <c r="I33" i="57"/>
  <c r="K33" i="57"/>
  <c r="L33" i="57"/>
  <c r="M33" i="57"/>
  <c r="F34" i="57"/>
  <c r="H34" i="57"/>
  <c r="I34" i="57"/>
  <c r="K34" i="57"/>
  <c r="L34" i="57"/>
  <c r="M34" i="57"/>
  <c r="F35" i="57"/>
  <c r="H35" i="57"/>
  <c r="I35" i="57"/>
  <c r="K35" i="57"/>
  <c r="L35" i="57"/>
  <c r="M35" i="57"/>
  <c r="F36" i="57"/>
  <c r="H36" i="57"/>
  <c r="I36" i="57"/>
  <c r="K36" i="57"/>
  <c r="L36" i="57"/>
  <c r="M36" i="57"/>
  <c r="F37" i="57"/>
  <c r="H37" i="57"/>
  <c r="I37" i="57"/>
  <c r="K37" i="57"/>
  <c r="L37" i="57"/>
  <c r="M37" i="57"/>
  <c r="F38" i="57"/>
  <c r="H38" i="57"/>
  <c r="I38" i="57"/>
  <c r="K38" i="57"/>
  <c r="L38" i="57"/>
  <c r="M38" i="57"/>
  <c r="F39" i="57"/>
  <c r="H39" i="57"/>
  <c r="I39" i="57"/>
  <c r="K39" i="57"/>
  <c r="L39" i="57"/>
  <c r="M39" i="57"/>
  <c r="F40" i="57"/>
  <c r="H40" i="57"/>
  <c r="I40" i="57"/>
  <c r="K40" i="57"/>
  <c r="L40" i="57"/>
  <c r="M40" i="57"/>
  <c r="F41" i="57"/>
  <c r="H41" i="57"/>
  <c r="I41" i="57"/>
  <c r="K41" i="57"/>
  <c r="L41" i="57"/>
  <c r="M41" i="57"/>
  <c r="F42" i="57"/>
  <c r="H42" i="57"/>
  <c r="I42" i="57"/>
  <c r="K42" i="57"/>
  <c r="L42" i="57"/>
  <c r="M42" i="57"/>
  <c r="F43" i="57"/>
  <c r="H43" i="57"/>
  <c r="I43" i="57"/>
  <c r="K43" i="57"/>
  <c r="L43" i="57"/>
  <c r="M43" i="57"/>
  <c r="F44" i="57"/>
  <c r="H44" i="57"/>
  <c r="I44" i="57"/>
  <c r="K44" i="57"/>
  <c r="L44" i="57"/>
  <c r="M44" i="57"/>
  <c r="F45" i="57"/>
  <c r="H45" i="57"/>
  <c r="I45" i="57"/>
  <c r="K45" i="57"/>
  <c r="L45" i="57"/>
  <c r="M45" i="57"/>
  <c r="F46" i="57"/>
  <c r="H46" i="57"/>
  <c r="I46" i="57"/>
  <c r="K46" i="57"/>
  <c r="L46" i="57"/>
  <c r="M46" i="57"/>
  <c r="F47" i="57"/>
  <c r="H47" i="57"/>
  <c r="I47" i="57"/>
  <c r="K47" i="57"/>
  <c r="L47" i="57"/>
  <c r="M47" i="57"/>
  <c r="F48" i="57"/>
  <c r="H48" i="57"/>
  <c r="I48" i="57"/>
  <c r="K48" i="57"/>
  <c r="L48" i="57"/>
  <c r="M48" i="57"/>
  <c r="F49" i="57"/>
  <c r="H49" i="57"/>
  <c r="I49" i="57"/>
  <c r="K49" i="57"/>
  <c r="L49" i="57"/>
  <c r="M49" i="57"/>
  <c r="F50" i="57"/>
  <c r="H50" i="57"/>
  <c r="I50" i="57"/>
  <c r="K50" i="57"/>
  <c r="L50" i="57"/>
  <c r="M50" i="57"/>
  <c r="F51" i="57"/>
  <c r="H51" i="57"/>
  <c r="I51" i="57"/>
  <c r="K51" i="57"/>
  <c r="L51" i="57"/>
  <c r="M51" i="57"/>
  <c r="F52" i="57"/>
  <c r="H52" i="57"/>
  <c r="I52" i="57"/>
  <c r="K52" i="57"/>
  <c r="L52" i="57"/>
  <c r="M52" i="57"/>
  <c r="F53" i="57"/>
  <c r="H53" i="57"/>
  <c r="I53" i="57"/>
  <c r="K53" i="57"/>
  <c r="L53" i="57"/>
  <c r="M53" i="57"/>
  <c r="F54" i="57"/>
  <c r="H54" i="57"/>
  <c r="I54" i="57"/>
  <c r="K54" i="57"/>
  <c r="L54" i="57"/>
  <c r="M54" i="57"/>
  <c r="F55" i="57"/>
  <c r="H55" i="57"/>
  <c r="I55" i="57"/>
  <c r="K55" i="57"/>
  <c r="L55" i="57"/>
  <c r="M55" i="57"/>
  <c r="F56" i="57"/>
  <c r="H56" i="57"/>
  <c r="I56" i="57"/>
  <c r="K56" i="57"/>
  <c r="L56" i="57"/>
  <c r="M56" i="57"/>
  <c r="F57" i="57"/>
  <c r="H57" i="57"/>
  <c r="I57" i="57"/>
  <c r="K57" i="57"/>
  <c r="L57" i="57"/>
  <c r="M57" i="57"/>
  <c r="F58" i="57"/>
  <c r="H58" i="57"/>
  <c r="I58" i="57"/>
  <c r="K58" i="57"/>
  <c r="L58" i="57"/>
  <c r="M58" i="57"/>
  <c r="F59" i="57"/>
  <c r="H59" i="57"/>
  <c r="I59" i="57"/>
  <c r="K59" i="57"/>
  <c r="L59" i="57"/>
  <c r="M59" i="57"/>
  <c r="M2" i="57"/>
  <c r="L2" i="57"/>
  <c r="K2" i="57"/>
  <c r="I2" i="57"/>
  <c r="H2" i="57"/>
  <c r="F2" i="57"/>
  <c r="D3" i="58" l="1"/>
  <c r="D4" i="58"/>
  <c r="D5" i="58"/>
  <c r="D6" i="58"/>
  <c r="D7" i="58"/>
  <c r="D8" i="58"/>
  <c r="D9" i="58"/>
  <c r="D10" i="58"/>
  <c r="D11" i="58"/>
  <c r="D12" i="58"/>
  <c r="D13" i="58"/>
  <c r="D14" i="58"/>
  <c r="D15" i="58"/>
  <c r="D16" i="58"/>
  <c r="D17" i="58"/>
  <c r="D18" i="58"/>
  <c r="D19" i="58"/>
  <c r="D20" i="58"/>
  <c r="D21" i="58"/>
  <c r="D22" i="58"/>
  <c r="D23" i="58"/>
  <c r="D24" i="58"/>
  <c r="D25" i="58"/>
  <c r="D26" i="58"/>
  <c r="D27" i="58"/>
  <c r="D28" i="58"/>
  <c r="D29" i="58"/>
  <c r="D30" i="58"/>
  <c r="D31" i="58"/>
  <c r="D32" i="58"/>
  <c r="D33" i="58"/>
  <c r="D34" i="58"/>
  <c r="D35" i="58"/>
  <c r="D36" i="58"/>
  <c r="D37" i="58"/>
  <c r="D38" i="58"/>
  <c r="D39" i="58"/>
  <c r="D40" i="58"/>
  <c r="D41" i="58"/>
  <c r="D42" i="58"/>
  <c r="D43" i="58"/>
  <c r="D44" i="58"/>
  <c r="D45" i="58"/>
  <c r="D46" i="58"/>
  <c r="D47" i="58"/>
  <c r="D48" i="58"/>
  <c r="D49" i="58"/>
  <c r="D50" i="58"/>
  <c r="D51" i="58"/>
  <c r="D52" i="58"/>
  <c r="D53" i="58"/>
  <c r="D54" i="58"/>
  <c r="D55" i="58"/>
  <c r="D56" i="58"/>
  <c r="D57" i="58"/>
  <c r="D58" i="58"/>
  <c r="D59" i="58"/>
  <c r="D2" i="58"/>
  <c r="B3" i="62" l="1"/>
  <c r="C3" i="62"/>
  <c r="D3" i="62"/>
  <c r="E3" i="62"/>
  <c r="F3" i="62"/>
  <c r="G3" i="62"/>
  <c r="B4" i="62"/>
  <c r="C4" i="62"/>
  <c r="D4" i="62"/>
  <c r="E4" i="62"/>
  <c r="F4" i="62"/>
  <c r="G4" i="62"/>
  <c r="B5" i="62"/>
  <c r="C5" i="62"/>
  <c r="D5" i="62"/>
  <c r="E5" i="62"/>
  <c r="F5" i="62"/>
  <c r="G5" i="62"/>
  <c r="B6" i="62"/>
  <c r="C6" i="62"/>
  <c r="D6" i="62"/>
  <c r="E6" i="62"/>
  <c r="F6" i="62"/>
  <c r="G6" i="62"/>
  <c r="B7" i="62"/>
  <c r="C7" i="62"/>
  <c r="D7" i="62"/>
  <c r="E7" i="62"/>
  <c r="F7" i="62"/>
  <c r="G7" i="62"/>
  <c r="B8" i="62"/>
  <c r="C8" i="62"/>
  <c r="D8" i="62"/>
  <c r="E8" i="62"/>
  <c r="F8" i="62"/>
  <c r="G8" i="62"/>
  <c r="B9" i="62"/>
  <c r="C9" i="62"/>
  <c r="D9" i="62"/>
  <c r="E9" i="62"/>
  <c r="F9" i="62"/>
  <c r="G9" i="62"/>
  <c r="B10" i="62"/>
  <c r="C10" i="62"/>
  <c r="D10" i="62"/>
  <c r="E10" i="62"/>
  <c r="F10" i="62"/>
  <c r="G10" i="62"/>
  <c r="B11" i="62"/>
  <c r="C11" i="62"/>
  <c r="D11" i="62"/>
  <c r="E11" i="62"/>
  <c r="F11" i="62"/>
  <c r="G11" i="62"/>
  <c r="B12" i="62"/>
  <c r="C12" i="62"/>
  <c r="D12" i="62"/>
  <c r="E12" i="62"/>
  <c r="F12" i="62"/>
  <c r="G12" i="62"/>
  <c r="B13" i="62"/>
  <c r="C13" i="62"/>
  <c r="D13" i="62"/>
  <c r="E13" i="62"/>
  <c r="F13" i="62"/>
  <c r="G13" i="62"/>
  <c r="B14" i="62"/>
  <c r="C14" i="62"/>
  <c r="D14" i="62"/>
  <c r="E14" i="62"/>
  <c r="F14" i="62"/>
  <c r="G14" i="62"/>
  <c r="B15" i="62"/>
  <c r="C15" i="62"/>
  <c r="D15" i="62"/>
  <c r="E15" i="62"/>
  <c r="F15" i="62"/>
  <c r="G15" i="62"/>
  <c r="B16" i="62"/>
  <c r="C16" i="62"/>
  <c r="D16" i="62"/>
  <c r="E16" i="62"/>
  <c r="F16" i="62"/>
  <c r="G16" i="62"/>
  <c r="B17" i="62"/>
  <c r="C17" i="62"/>
  <c r="D17" i="62"/>
  <c r="E17" i="62"/>
  <c r="F17" i="62"/>
  <c r="G17" i="62"/>
  <c r="B18" i="62"/>
  <c r="C18" i="62"/>
  <c r="D18" i="62"/>
  <c r="E18" i="62"/>
  <c r="F18" i="62"/>
  <c r="G18" i="62"/>
  <c r="B19" i="62"/>
  <c r="C19" i="62"/>
  <c r="D19" i="62"/>
  <c r="E19" i="62"/>
  <c r="F19" i="62"/>
  <c r="G19" i="62"/>
  <c r="B20" i="62"/>
  <c r="C20" i="62"/>
  <c r="D20" i="62"/>
  <c r="E20" i="62"/>
  <c r="F20" i="62"/>
  <c r="G20" i="62"/>
  <c r="B21" i="62"/>
  <c r="C21" i="62"/>
  <c r="D21" i="62"/>
  <c r="E21" i="62"/>
  <c r="F21" i="62"/>
  <c r="G21" i="62"/>
  <c r="B22" i="62"/>
  <c r="C22" i="62"/>
  <c r="D22" i="62"/>
  <c r="E22" i="62"/>
  <c r="F22" i="62"/>
  <c r="G22" i="62"/>
  <c r="B23" i="62"/>
  <c r="C23" i="62"/>
  <c r="D23" i="62"/>
  <c r="E23" i="62"/>
  <c r="F23" i="62"/>
  <c r="G23" i="62"/>
  <c r="B24" i="62"/>
  <c r="C24" i="62"/>
  <c r="D24" i="62"/>
  <c r="E24" i="62"/>
  <c r="F24" i="62"/>
  <c r="G24" i="62"/>
  <c r="B25" i="62"/>
  <c r="C25" i="62"/>
  <c r="D25" i="62"/>
  <c r="E25" i="62"/>
  <c r="F25" i="62"/>
  <c r="G25" i="62"/>
  <c r="B26" i="62"/>
  <c r="C26" i="62"/>
  <c r="D26" i="62"/>
  <c r="E26" i="62"/>
  <c r="F26" i="62"/>
  <c r="G26" i="62"/>
  <c r="B27" i="62"/>
  <c r="C27" i="62"/>
  <c r="D27" i="62"/>
  <c r="E27" i="62"/>
  <c r="F27" i="62"/>
  <c r="G27" i="62"/>
  <c r="B28" i="62"/>
  <c r="C28" i="62"/>
  <c r="D28" i="62"/>
  <c r="E28" i="62"/>
  <c r="F28" i="62"/>
  <c r="G28" i="62"/>
  <c r="B29" i="62"/>
  <c r="C29" i="62"/>
  <c r="D29" i="62"/>
  <c r="E29" i="62"/>
  <c r="F29" i="62"/>
  <c r="G29" i="62"/>
  <c r="B30" i="62"/>
  <c r="C30" i="62"/>
  <c r="D30" i="62"/>
  <c r="E30" i="62"/>
  <c r="F30" i="62"/>
  <c r="G30" i="62"/>
  <c r="B31" i="62"/>
  <c r="C31" i="62"/>
  <c r="D31" i="62"/>
  <c r="E31" i="62"/>
  <c r="F31" i="62"/>
  <c r="G31" i="62"/>
  <c r="B32" i="62"/>
  <c r="C32" i="62"/>
  <c r="D32" i="62"/>
  <c r="E32" i="62"/>
  <c r="F32" i="62"/>
  <c r="G32" i="62"/>
  <c r="B33" i="62"/>
  <c r="C33" i="62"/>
  <c r="D33" i="62"/>
  <c r="E33" i="62"/>
  <c r="F33" i="62"/>
  <c r="G33" i="62"/>
  <c r="B34" i="62"/>
  <c r="C34" i="62"/>
  <c r="D34" i="62"/>
  <c r="E34" i="62"/>
  <c r="F34" i="62"/>
  <c r="G34" i="62"/>
  <c r="B35" i="62"/>
  <c r="C35" i="62"/>
  <c r="D35" i="62"/>
  <c r="E35" i="62"/>
  <c r="F35" i="62"/>
  <c r="G35" i="62"/>
  <c r="B36" i="62"/>
  <c r="C36" i="62"/>
  <c r="D36" i="62"/>
  <c r="E36" i="62"/>
  <c r="F36" i="62"/>
  <c r="G36" i="62"/>
  <c r="B37" i="62"/>
  <c r="C37" i="62"/>
  <c r="D37" i="62"/>
  <c r="E37" i="62"/>
  <c r="F37" i="62"/>
  <c r="G37" i="62"/>
  <c r="B38" i="62"/>
  <c r="C38" i="62"/>
  <c r="D38" i="62"/>
  <c r="E38" i="62"/>
  <c r="F38" i="62"/>
  <c r="G38" i="62"/>
  <c r="B39" i="62"/>
  <c r="C39" i="62"/>
  <c r="D39" i="62"/>
  <c r="E39" i="62"/>
  <c r="F39" i="62"/>
  <c r="G39" i="62"/>
  <c r="B40" i="62"/>
  <c r="C40" i="62"/>
  <c r="D40" i="62"/>
  <c r="E40" i="62"/>
  <c r="F40" i="62"/>
  <c r="G40" i="62"/>
  <c r="B41" i="62"/>
  <c r="C41" i="62"/>
  <c r="D41" i="62"/>
  <c r="E41" i="62"/>
  <c r="F41" i="62"/>
  <c r="G41" i="62"/>
  <c r="B42" i="62"/>
  <c r="C42" i="62"/>
  <c r="D42" i="62"/>
  <c r="E42" i="62"/>
  <c r="F42" i="62"/>
  <c r="G42" i="62"/>
  <c r="B43" i="62"/>
  <c r="C43" i="62"/>
  <c r="D43" i="62"/>
  <c r="E43" i="62"/>
  <c r="F43" i="62"/>
  <c r="G43" i="62"/>
  <c r="B44" i="62"/>
  <c r="C44" i="62"/>
  <c r="D44" i="62"/>
  <c r="E44" i="62"/>
  <c r="F44" i="62"/>
  <c r="G44" i="62"/>
  <c r="B45" i="62"/>
  <c r="C45" i="62"/>
  <c r="D45" i="62"/>
  <c r="E45" i="62"/>
  <c r="F45" i="62"/>
  <c r="G45" i="62"/>
  <c r="B46" i="62"/>
  <c r="C46" i="62"/>
  <c r="D46" i="62"/>
  <c r="E46" i="62"/>
  <c r="F46" i="62"/>
  <c r="G46" i="62"/>
  <c r="B47" i="62"/>
  <c r="C47" i="62"/>
  <c r="D47" i="62"/>
  <c r="E47" i="62"/>
  <c r="F47" i="62"/>
  <c r="G47" i="62"/>
  <c r="B48" i="62"/>
  <c r="C48" i="62"/>
  <c r="D48" i="62"/>
  <c r="E48" i="62"/>
  <c r="F48" i="62"/>
  <c r="G48" i="62"/>
  <c r="B49" i="62"/>
  <c r="C49" i="62"/>
  <c r="D49" i="62"/>
  <c r="E49" i="62"/>
  <c r="F49" i="62"/>
  <c r="G49" i="62"/>
  <c r="B50" i="62"/>
  <c r="C50" i="62"/>
  <c r="D50" i="62"/>
  <c r="E50" i="62"/>
  <c r="F50" i="62"/>
  <c r="G50" i="62"/>
  <c r="B51" i="62"/>
  <c r="C51" i="62"/>
  <c r="D51" i="62"/>
  <c r="E51" i="62"/>
  <c r="F51" i="62"/>
  <c r="G51" i="62"/>
  <c r="B52" i="62"/>
  <c r="C52" i="62"/>
  <c r="D52" i="62"/>
  <c r="E52" i="62"/>
  <c r="F52" i="62"/>
  <c r="G52" i="62"/>
  <c r="B53" i="62"/>
  <c r="C53" i="62"/>
  <c r="D53" i="62"/>
  <c r="E53" i="62"/>
  <c r="F53" i="62"/>
  <c r="G53" i="62"/>
  <c r="B54" i="62"/>
  <c r="C54" i="62"/>
  <c r="D54" i="62"/>
  <c r="E54" i="62"/>
  <c r="F54" i="62"/>
  <c r="G54" i="62"/>
  <c r="B55" i="62"/>
  <c r="C55" i="62"/>
  <c r="D55" i="62"/>
  <c r="E55" i="62"/>
  <c r="F55" i="62"/>
  <c r="G55" i="62"/>
  <c r="B56" i="62"/>
  <c r="C56" i="62"/>
  <c r="D56" i="62"/>
  <c r="E56" i="62"/>
  <c r="F56" i="62"/>
  <c r="G56" i="62"/>
  <c r="B57" i="62"/>
  <c r="C57" i="62"/>
  <c r="D57" i="62"/>
  <c r="E57" i="62"/>
  <c r="F57" i="62"/>
  <c r="G57" i="62"/>
  <c r="B58" i="62"/>
  <c r="C58" i="62"/>
  <c r="D58" i="62"/>
  <c r="E58" i="62"/>
  <c r="F58" i="62"/>
  <c r="G58" i="62"/>
  <c r="B59" i="62"/>
  <c r="C59" i="62"/>
  <c r="D59" i="62"/>
  <c r="E59" i="62"/>
  <c r="F59" i="62"/>
  <c r="G59" i="62"/>
  <c r="G2" i="62"/>
  <c r="F2" i="62"/>
  <c r="E2" i="62"/>
  <c r="D2" i="62"/>
  <c r="C2" i="62"/>
  <c r="B2" i="62"/>
  <c r="C3" i="57" l="1"/>
  <c r="C3" i="58" s="1"/>
  <c r="E3" i="61" s="1"/>
  <c r="C4" i="57"/>
  <c r="C4" i="58" s="1"/>
  <c r="E4" i="61" s="1"/>
  <c r="C5" i="57"/>
  <c r="C5" i="58" s="1"/>
  <c r="E5" i="61" s="1"/>
  <c r="C6" i="57"/>
  <c r="C6" i="58" s="1"/>
  <c r="E6" i="61" s="1"/>
  <c r="C7" i="57"/>
  <c r="C7" i="58" s="1"/>
  <c r="E7" i="61" s="1"/>
  <c r="C8" i="57"/>
  <c r="C8" i="58" s="1"/>
  <c r="E8" i="61" s="1"/>
  <c r="C9" i="57"/>
  <c r="C9" i="58" s="1"/>
  <c r="E9" i="61" s="1"/>
  <c r="C10" i="57"/>
  <c r="C10" i="58" s="1"/>
  <c r="E10" i="61" s="1"/>
  <c r="C11" i="57"/>
  <c r="C11" i="58" s="1"/>
  <c r="E11" i="61" s="1"/>
  <c r="C12" i="57"/>
  <c r="C12" i="58" s="1"/>
  <c r="E12" i="61" s="1"/>
  <c r="C13" i="57"/>
  <c r="C13" i="58" s="1"/>
  <c r="E13" i="61" s="1"/>
  <c r="C14" i="57"/>
  <c r="C14" i="58" s="1"/>
  <c r="E14" i="61" s="1"/>
  <c r="C15" i="57"/>
  <c r="C15" i="58" s="1"/>
  <c r="E15" i="61" s="1"/>
  <c r="C16" i="57"/>
  <c r="C16" i="58" s="1"/>
  <c r="E16" i="61" s="1"/>
  <c r="C17" i="57"/>
  <c r="C17" i="58" s="1"/>
  <c r="E17" i="61" s="1"/>
  <c r="C18" i="57"/>
  <c r="C18" i="58" s="1"/>
  <c r="E18" i="61" s="1"/>
  <c r="C19" i="57"/>
  <c r="C19" i="58" s="1"/>
  <c r="E19" i="61" s="1"/>
  <c r="C20" i="57"/>
  <c r="C20" i="58" s="1"/>
  <c r="E20" i="61" s="1"/>
  <c r="C21" i="57"/>
  <c r="C21" i="58" s="1"/>
  <c r="E21" i="61" s="1"/>
  <c r="C22" i="57"/>
  <c r="C22" i="58" s="1"/>
  <c r="E22" i="61" s="1"/>
  <c r="C23" i="57"/>
  <c r="C23" i="58" s="1"/>
  <c r="E23" i="61" s="1"/>
  <c r="C24" i="57"/>
  <c r="C24" i="58" s="1"/>
  <c r="E24" i="61" s="1"/>
  <c r="C25" i="57"/>
  <c r="C25" i="58" s="1"/>
  <c r="E25" i="61" s="1"/>
  <c r="C26" i="57"/>
  <c r="C26" i="58" s="1"/>
  <c r="E26" i="61" s="1"/>
  <c r="C27" i="57"/>
  <c r="C27" i="58" s="1"/>
  <c r="E27" i="61" s="1"/>
  <c r="C28" i="57"/>
  <c r="C28" i="58" s="1"/>
  <c r="E28" i="61" s="1"/>
  <c r="C29" i="57"/>
  <c r="C29" i="58" s="1"/>
  <c r="E29" i="61" s="1"/>
  <c r="C30" i="57"/>
  <c r="C30" i="58" s="1"/>
  <c r="E30" i="61" s="1"/>
  <c r="C31" i="57"/>
  <c r="C31" i="58" s="1"/>
  <c r="E31" i="61" s="1"/>
  <c r="C32" i="57"/>
  <c r="C32" i="58" s="1"/>
  <c r="E32" i="61" s="1"/>
  <c r="C33" i="57"/>
  <c r="C33" i="58" s="1"/>
  <c r="E33" i="61" s="1"/>
  <c r="C34" i="57"/>
  <c r="C34" i="58" s="1"/>
  <c r="E34" i="61" s="1"/>
  <c r="C35" i="57"/>
  <c r="C35" i="58" s="1"/>
  <c r="E35" i="61" s="1"/>
  <c r="C36" i="57"/>
  <c r="C36" i="58" s="1"/>
  <c r="E36" i="61" s="1"/>
  <c r="C37" i="57"/>
  <c r="C37" i="58" s="1"/>
  <c r="E37" i="61" s="1"/>
  <c r="C38" i="57"/>
  <c r="C38" i="58" s="1"/>
  <c r="E38" i="61" s="1"/>
  <c r="C39" i="57"/>
  <c r="C39" i="58" s="1"/>
  <c r="E39" i="61" s="1"/>
  <c r="C40" i="57"/>
  <c r="C40" i="58" s="1"/>
  <c r="E40" i="61" s="1"/>
  <c r="C41" i="57"/>
  <c r="C41" i="58" s="1"/>
  <c r="E41" i="61" s="1"/>
  <c r="C42" i="57"/>
  <c r="C42" i="58" s="1"/>
  <c r="E42" i="61" s="1"/>
  <c r="C43" i="57"/>
  <c r="C43" i="58" s="1"/>
  <c r="E43" i="61" s="1"/>
  <c r="C44" i="57"/>
  <c r="C44" i="58" s="1"/>
  <c r="E44" i="61" s="1"/>
  <c r="C45" i="57"/>
  <c r="C45" i="58" s="1"/>
  <c r="E45" i="61" s="1"/>
  <c r="C46" i="57"/>
  <c r="C46" i="58" s="1"/>
  <c r="E46" i="61" s="1"/>
  <c r="C47" i="57"/>
  <c r="C47" i="58" s="1"/>
  <c r="E47" i="61" s="1"/>
  <c r="C48" i="57"/>
  <c r="C48" i="58" s="1"/>
  <c r="E48" i="61" s="1"/>
  <c r="C49" i="57"/>
  <c r="C49" i="58" s="1"/>
  <c r="E49" i="61" s="1"/>
  <c r="C50" i="57"/>
  <c r="C50" i="58" s="1"/>
  <c r="E50" i="61" s="1"/>
  <c r="C51" i="57"/>
  <c r="C51" i="58" s="1"/>
  <c r="E51" i="61" s="1"/>
  <c r="C52" i="57"/>
  <c r="C52" i="58" s="1"/>
  <c r="E52" i="61" s="1"/>
  <c r="C53" i="57"/>
  <c r="C53" i="58" s="1"/>
  <c r="E53" i="61" s="1"/>
  <c r="C54" i="57"/>
  <c r="C54" i="58" s="1"/>
  <c r="E54" i="61" s="1"/>
  <c r="C55" i="57"/>
  <c r="C55" i="58" s="1"/>
  <c r="E55" i="61" s="1"/>
  <c r="C56" i="57"/>
  <c r="C56" i="58" s="1"/>
  <c r="E56" i="61" s="1"/>
  <c r="C57" i="57"/>
  <c r="C57" i="58" s="1"/>
  <c r="E57" i="61" s="1"/>
  <c r="C58" i="57"/>
  <c r="C58" i="58" s="1"/>
  <c r="E58" i="61" s="1"/>
  <c r="C59" i="57"/>
  <c r="C59" i="58" s="1"/>
  <c r="E59" i="61" s="1"/>
  <c r="D3" i="61"/>
  <c r="D4" i="61"/>
  <c r="D5" i="61"/>
  <c r="D6" i="61"/>
  <c r="D7" i="61"/>
  <c r="D8" i="61"/>
  <c r="D9" i="61"/>
  <c r="D10" i="61"/>
  <c r="D11" i="61"/>
  <c r="D12" i="61"/>
  <c r="D13" i="61"/>
  <c r="D14" i="61"/>
  <c r="D15" i="61"/>
  <c r="D16" i="61"/>
  <c r="D17" i="61"/>
  <c r="D18" i="61"/>
  <c r="D19" i="61"/>
  <c r="D20" i="61"/>
  <c r="D21" i="61"/>
  <c r="D22" i="61"/>
  <c r="D23" i="61"/>
  <c r="D24" i="61"/>
  <c r="D25" i="61"/>
  <c r="D26" i="61"/>
  <c r="D27" i="61"/>
  <c r="D28" i="61"/>
  <c r="D29" i="61"/>
  <c r="D30" i="61"/>
  <c r="D31" i="61"/>
  <c r="D32" i="61"/>
  <c r="D33" i="61"/>
  <c r="D34" i="61"/>
  <c r="D35" i="61"/>
  <c r="D36" i="61"/>
  <c r="D37" i="61"/>
  <c r="D38" i="61"/>
  <c r="D39" i="61"/>
  <c r="D40" i="61"/>
  <c r="D41" i="61"/>
  <c r="D42" i="61"/>
  <c r="D43" i="61"/>
  <c r="D44" i="61"/>
  <c r="D45" i="61"/>
  <c r="D46" i="61"/>
  <c r="D47" i="61"/>
  <c r="D48" i="61"/>
  <c r="D49" i="61"/>
  <c r="D50" i="61"/>
  <c r="D51" i="61"/>
  <c r="D52" i="61"/>
  <c r="D53" i="61"/>
  <c r="D54" i="61"/>
  <c r="D55" i="61"/>
  <c r="D56" i="61"/>
  <c r="D57" i="61"/>
  <c r="D58" i="61"/>
  <c r="D59" i="61"/>
  <c r="D2" i="61"/>
  <c r="C2" i="57"/>
  <c r="C2" i="58" s="1"/>
  <c r="E2" i="61" s="1"/>
  <c r="D3" i="55"/>
  <c r="D4" i="55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0" i="55"/>
  <c r="D21" i="55"/>
  <c r="D22" i="55"/>
  <c r="D23" i="55"/>
  <c r="D24" i="55"/>
  <c r="D25" i="55"/>
  <c r="D26" i="55"/>
  <c r="D27" i="55"/>
  <c r="D28" i="55"/>
  <c r="D29" i="55"/>
  <c r="D30" i="55"/>
  <c r="D31" i="55"/>
  <c r="D32" i="55"/>
  <c r="D33" i="55"/>
  <c r="D34" i="55"/>
  <c r="D35" i="55"/>
  <c r="D36" i="55"/>
  <c r="D37" i="55"/>
  <c r="D38" i="55"/>
  <c r="D39" i="55"/>
  <c r="D40" i="55"/>
  <c r="D41" i="55"/>
  <c r="D42" i="55"/>
  <c r="D43" i="55"/>
  <c r="D44" i="55"/>
  <c r="D45" i="55"/>
  <c r="D46" i="55"/>
  <c r="D47" i="55"/>
  <c r="D48" i="55"/>
  <c r="D49" i="55"/>
  <c r="D50" i="55"/>
  <c r="D51" i="55"/>
  <c r="D52" i="55"/>
  <c r="D53" i="55"/>
  <c r="D54" i="55"/>
  <c r="D55" i="55"/>
  <c r="D56" i="55"/>
  <c r="D57" i="55"/>
  <c r="D58" i="55"/>
  <c r="D59" i="55"/>
  <c r="D2" i="55"/>
  <c r="C3" i="54"/>
  <c r="C3" i="55" s="1"/>
  <c r="C4" i="54"/>
  <c r="C4" i="55" s="1"/>
  <c r="C5" i="54"/>
  <c r="C5" i="55" s="1"/>
  <c r="C6" i="54"/>
  <c r="C6" i="55" s="1"/>
  <c r="C7" i="54"/>
  <c r="C7" i="55" s="1"/>
  <c r="C8" i="54"/>
  <c r="C8" i="55" s="1"/>
  <c r="C9" i="54"/>
  <c r="C9" i="55" s="1"/>
  <c r="C10" i="54"/>
  <c r="C10" i="55" s="1"/>
  <c r="C11" i="54"/>
  <c r="C11" i="55" s="1"/>
  <c r="C12" i="54"/>
  <c r="C12" i="55" s="1"/>
  <c r="C13" i="54"/>
  <c r="C13" i="55" s="1"/>
  <c r="C14" i="54"/>
  <c r="C14" i="55" s="1"/>
  <c r="C15" i="54"/>
  <c r="C15" i="55" s="1"/>
  <c r="C16" i="54"/>
  <c r="C16" i="55" s="1"/>
  <c r="C17" i="54"/>
  <c r="C17" i="55" s="1"/>
  <c r="C18" i="54"/>
  <c r="C18" i="55" s="1"/>
  <c r="C19" i="54"/>
  <c r="C19" i="55" s="1"/>
  <c r="C20" i="54"/>
  <c r="C20" i="55" s="1"/>
  <c r="C21" i="54"/>
  <c r="C21" i="55" s="1"/>
  <c r="C22" i="54"/>
  <c r="C22" i="55" s="1"/>
  <c r="C23" i="54"/>
  <c r="C23" i="55" s="1"/>
  <c r="C24" i="54"/>
  <c r="C24" i="55" s="1"/>
  <c r="C25" i="54"/>
  <c r="C25" i="55" s="1"/>
  <c r="C26" i="54"/>
  <c r="C26" i="55" s="1"/>
  <c r="C27" i="54"/>
  <c r="C27" i="55" s="1"/>
  <c r="C28" i="54"/>
  <c r="C28" i="55" s="1"/>
  <c r="C29" i="54"/>
  <c r="C29" i="55" s="1"/>
  <c r="C30" i="54"/>
  <c r="C30" i="55" s="1"/>
  <c r="C31" i="54"/>
  <c r="C31" i="55" s="1"/>
  <c r="C32" i="54"/>
  <c r="C32" i="55" s="1"/>
  <c r="C33" i="54"/>
  <c r="C33" i="55" s="1"/>
  <c r="C34" i="54"/>
  <c r="C34" i="55" s="1"/>
  <c r="C35" i="54"/>
  <c r="C35" i="55" s="1"/>
  <c r="C36" i="54"/>
  <c r="C36" i="55" s="1"/>
  <c r="C37" i="54"/>
  <c r="C37" i="55" s="1"/>
  <c r="C38" i="54"/>
  <c r="C38" i="55" s="1"/>
  <c r="C39" i="54"/>
  <c r="C39" i="55" s="1"/>
  <c r="C40" i="54"/>
  <c r="C40" i="55" s="1"/>
  <c r="C41" i="54"/>
  <c r="C41" i="55" s="1"/>
  <c r="C42" i="54"/>
  <c r="C42" i="55" s="1"/>
  <c r="C43" i="54"/>
  <c r="C43" i="55" s="1"/>
  <c r="C44" i="54"/>
  <c r="C44" i="55" s="1"/>
  <c r="C45" i="54"/>
  <c r="C45" i="55" s="1"/>
  <c r="C46" i="54"/>
  <c r="C46" i="55" s="1"/>
  <c r="C47" i="54"/>
  <c r="C47" i="55" s="1"/>
  <c r="C48" i="54"/>
  <c r="C48" i="55" s="1"/>
  <c r="C49" i="54"/>
  <c r="C49" i="55" s="1"/>
  <c r="C50" i="54"/>
  <c r="C50" i="55" s="1"/>
  <c r="C51" i="54"/>
  <c r="C51" i="55" s="1"/>
  <c r="C52" i="54"/>
  <c r="C52" i="55" s="1"/>
  <c r="C53" i="54"/>
  <c r="C53" i="55" s="1"/>
  <c r="C54" i="54"/>
  <c r="C54" i="55" s="1"/>
  <c r="C55" i="54"/>
  <c r="C55" i="55" s="1"/>
  <c r="C56" i="54"/>
  <c r="C56" i="55" s="1"/>
  <c r="C57" i="54"/>
  <c r="C57" i="55" s="1"/>
  <c r="C58" i="54"/>
  <c r="C58" i="55" s="1"/>
  <c r="C59" i="54"/>
  <c r="C59" i="55" s="1"/>
  <c r="C2" i="54"/>
  <c r="C2" i="55" s="1"/>
  <c r="D59" i="54"/>
  <c r="E59" i="40" s="1"/>
  <c r="E59" i="54"/>
  <c r="F59" i="40" s="1"/>
  <c r="F59" i="54"/>
  <c r="G59" i="40" s="1"/>
  <c r="G59" i="54"/>
  <c r="H59" i="40" s="1"/>
  <c r="H59" i="54"/>
  <c r="I59" i="40" s="1"/>
  <c r="I59" i="54"/>
  <c r="J59" i="40" s="1"/>
  <c r="D3" i="54"/>
  <c r="E3" i="40" s="1"/>
  <c r="E3" i="54"/>
  <c r="F3" i="40" s="1"/>
  <c r="F3" i="54"/>
  <c r="G3" i="40" s="1"/>
  <c r="G3" i="54"/>
  <c r="H3" i="40" s="1"/>
  <c r="H3" i="54"/>
  <c r="I3" i="40" s="1"/>
  <c r="I3" i="54"/>
  <c r="J3" i="40" s="1"/>
  <c r="D4" i="54"/>
  <c r="E4" i="40" s="1"/>
  <c r="E4" i="54"/>
  <c r="F4" i="40" s="1"/>
  <c r="F4" i="54"/>
  <c r="G4" i="40" s="1"/>
  <c r="G4" i="54"/>
  <c r="H4" i="40" s="1"/>
  <c r="H4" i="54"/>
  <c r="I4" i="40" s="1"/>
  <c r="I4" i="54"/>
  <c r="J4" i="40" s="1"/>
  <c r="D5" i="54"/>
  <c r="E5" i="40" s="1"/>
  <c r="E5" i="54"/>
  <c r="F5" i="40" s="1"/>
  <c r="F5" i="54"/>
  <c r="G5" i="40" s="1"/>
  <c r="G5" i="54"/>
  <c r="H5" i="40" s="1"/>
  <c r="H5" i="54"/>
  <c r="I5" i="40" s="1"/>
  <c r="I5" i="54"/>
  <c r="J5" i="40" s="1"/>
  <c r="D6" i="54"/>
  <c r="E6" i="40" s="1"/>
  <c r="E6" i="54"/>
  <c r="F6" i="40" s="1"/>
  <c r="F6" i="54"/>
  <c r="G6" i="40" s="1"/>
  <c r="G6" i="54"/>
  <c r="H6" i="40" s="1"/>
  <c r="H6" i="54"/>
  <c r="I6" i="40" s="1"/>
  <c r="I6" i="54"/>
  <c r="J6" i="40" s="1"/>
  <c r="D7" i="54"/>
  <c r="E7" i="40" s="1"/>
  <c r="E7" i="54"/>
  <c r="F7" i="40" s="1"/>
  <c r="F7" i="54"/>
  <c r="G7" i="40" s="1"/>
  <c r="G7" i="54"/>
  <c r="H7" i="40" s="1"/>
  <c r="H7" i="54"/>
  <c r="I7" i="40" s="1"/>
  <c r="I7" i="54"/>
  <c r="J7" i="40" s="1"/>
  <c r="D8" i="54"/>
  <c r="E8" i="40" s="1"/>
  <c r="E8" i="54"/>
  <c r="F8" i="40" s="1"/>
  <c r="F8" i="54"/>
  <c r="G8" i="40" s="1"/>
  <c r="G8" i="54"/>
  <c r="H8" i="40" s="1"/>
  <c r="H8" i="54"/>
  <c r="I8" i="40" s="1"/>
  <c r="I8" i="54"/>
  <c r="J8" i="40" s="1"/>
  <c r="D9" i="54"/>
  <c r="E9" i="40" s="1"/>
  <c r="E9" i="54"/>
  <c r="F9" i="40" s="1"/>
  <c r="F9" i="54"/>
  <c r="G9" i="40" s="1"/>
  <c r="G9" i="54"/>
  <c r="H9" i="40" s="1"/>
  <c r="H9" i="54"/>
  <c r="I9" i="40" s="1"/>
  <c r="I9" i="54"/>
  <c r="J9" i="40" s="1"/>
  <c r="D10" i="54"/>
  <c r="E10" i="40" s="1"/>
  <c r="E10" i="54"/>
  <c r="F10" i="40" s="1"/>
  <c r="F10" i="54"/>
  <c r="G10" i="40" s="1"/>
  <c r="G10" i="54"/>
  <c r="H10" i="40" s="1"/>
  <c r="H10" i="54"/>
  <c r="I10" i="40" s="1"/>
  <c r="I10" i="54"/>
  <c r="J10" i="40" s="1"/>
  <c r="D11" i="54"/>
  <c r="E11" i="40" s="1"/>
  <c r="E11" i="54"/>
  <c r="F11" i="40" s="1"/>
  <c r="F11" i="54"/>
  <c r="G11" i="40" s="1"/>
  <c r="G11" i="54"/>
  <c r="H11" i="40" s="1"/>
  <c r="H11" i="54"/>
  <c r="I11" i="40" s="1"/>
  <c r="I11" i="54"/>
  <c r="J11" i="40" s="1"/>
  <c r="D12" i="54"/>
  <c r="E12" i="40" s="1"/>
  <c r="E12" i="54"/>
  <c r="F12" i="40" s="1"/>
  <c r="F12" i="54"/>
  <c r="G12" i="40" s="1"/>
  <c r="G12" i="54"/>
  <c r="H12" i="40" s="1"/>
  <c r="H12" i="54"/>
  <c r="I12" i="40" s="1"/>
  <c r="I12" i="54"/>
  <c r="J12" i="40" s="1"/>
  <c r="D13" i="54"/>
  <c r="E13" i="40" s="1"/>
  <c r="E13" i="54"/>
  <c r="F13" i="40" s="1"/>
  <c r="F13" i="54"/>
  <c r="G13" i="40" s="1"/>
  <c r="G13" i="54"/>
  <c r="H13" i="40" s="1"/>
  <c r="H13" i="54"/>
  <c r="I13" i="40" s="1"/>
  <c r="I13" i="54"/>
  <c r="J13" i="40" s="1"/>
  <c r="D14" i="54"/>
  <c r="E14" i="40" s="1"/>
  <c r="E14" i="54"/>
  <c r="F14" i="40" s="1"/>
  <c r="F14" i="54"/>
  <c r="G14" i="40" s="1"/>
  <c r="G14" i="54"/>
  <c r="H14" i="40" s="1"/>
  <c r="H14" i="54"/>
  <c r="I14" i="40" s="1"/>
  <c r="I14" i="54"/>
  <c r="J14" i="40" s="1"/>
  <c r="D15" i="54"/>
  <c r="E15" i="40" s="1"/>
  <c r="E15" i="54"/>
  <c r="F15" i="40" s="1"/>
  <c r="F15" i="54"/>
  <c r="G15" i="40" s="1"/>
  <c r="G15" i="54"/>
  <c r="H15" i="40" s="1"/>
  <c r="H15" i="54"/>
  <c r="I15" i="40" s="1"/>
  <c r="I15" i="54"/>
  <c r="J15" i="40" s="1"/>
  <c r="D16" i="54"/>
  <c r="E16" i="40" s="1"/>
  <c r="E16" i="54"/>
  <c r="F16" i="40" s="1"/>
  <c r="F16" i="54"/>
  <c r="G16" i="40" s="1"/>
  <c r="G16" i="54"/>
  <c r="H16" i="40" s="1"/>
  <c r="H16" i="54"/>
  <c r="I16" i="40" s="1"/>
  <c r="I16" i="54"/>
  <c r="J16" i="40" s="1"/>
  <c r="D17" i="54"/>
  <c r="E17" i="40" s="1"/>
  <c r="E17" i="54"/>
  <c r="F17" i="40" s="1"/>
  <c r="F17" i="54"/>
  <c r="G17" i="40" s="1"/>
  <c r="G17" i="54"/>
  <c r="H17" i="40" s="1"/>
  <c r="H17" i="54"/>
  <c r="I17" i="40" s="1"/>
  <c r="I17" i="54"/>
  <c r="J17" i="40" s="1"/>
  <c r="D18" i="54"/>
  <c r="E18" i="40" s="1"/>
  <c r="E18" i="54"/>
  <c r="F18" i="40" s="1"/>
  <c r="F18" i="54"/>
  <c r="G18" i="40" s="1"/>
  <c r="G18" i="54"/>
  <c r="H18" i="40" s="1"/>
  <c r="H18" i="54"/>
  <c r="I18" i="40" s="1"/>
  <c r="I18" i="54"/>
  <c r="J18" i="40" s="1"/>
  <c r="D19" i="54"/>
  <c r="E19" i="40" s="1"/>
  <c r="E19" i="54"/>
  <c r="F19" i="40" s="1"/>
  <c r="F19" i="54"/>
  <c r="G19" i="40" s="1"/>
  <c r="G19" i="54"/>
  <c r="H19" i="40" s="1"/>
  <c r="H19" i="54"/>
  <c r="I19" i="40" s="1"/>
  <c r="I19" i="54"/>
  <c r="J19" i="40" s="1"/>
  <c r="D20" i="54"/>
  <c r="E20" i="40" s="1"/>
  <c r="E20" i="54"/>
  <c r="F20" i="40" s="1"/>
  <c r="F20" i="54"/>
  <c r="G20" i="40" s="1"/>
  <c r="G20" i="54"/>
  <c r="H20" i="40" s="1"/>
  <c r="H20" i="54"/>
  <c r="I20" i="40" s="1"/>
  <c r="I20" i="54"/>
  <c r="J20" i="40" s="1"/>
  <c r="D21" i="54"/>
  <c r="E21" i="40" s="1"/>
  <c r="E21" i="54"/>
  <c r="F21" i="40" s="1"/>
  <c r="F21" i="54"/>
  <c r="G21" i="40" s="1"/>
  <c r="G21" i="54"/>
  <c r="H21" i="40" s="1"/>
  <c r="H21" i="54"/>
  <c r="I21" i="40" s="1"/>
  <c r="I21" i="54"/>
  <c r="J21" i="40" s="1"/>
  <c r="D22" i="54"/>
  <c r="E22" i="40" s="1"/>
  <c r="E22" i="54"/>
  <c r="F22" i="40" s="1"/>
  <c r="F22" i="54"/>
  <c r="G22" i="40" s="1"/>
  <c r="G22" i="54"/>
  <c r="H22" i="40" s="1"/>
  <c r="H22" i="54"/>
  <c r="I22" i="40" s="1"/>
  <c r="I22" i="54"/>
  <c r="J22" i="40" s="1"/>
  <c r="D23" i="54"/>
  <c r="E23" i="40" s="1"/>
  <c r="E23" i="54"/>
  <c r="F23" i="40" s="1"/>
  <c r="F23" i="54"/>
  <c r="G23" i="40" s="1"/>
  <c r="G23" i="54"/>
  <c r="H23" i="40" s="1"/>
  <c r="H23" i="54"/>
  <c r="I23" i="40" s="1"/>
  <c r="I23" i="54"/>
  <c r="J23" i="40" s="1"/>
  <c r="D24" i="54"/>
  <c r="E24" i="40" s="1"/>
  <c r="E24" i="54"/>
  <c r="F24" i="40" s="1"/>
  <c r="F24" i="54"/>
  <c r="G24" i="40" s="1"/>
  <c r="G24" i="54"/>
  <c r="H24" i="40" s="1"/>
  <c r="H24" i="54"/>
  <c r="I24" i="40" s="1"/>
  <c r="I24" i="54"/>
  <c r="J24" i="40" s="1"/>
  <c r="D25" i="54"/>
  <c r="E25" i="40" s="1"/>
  <c r="E25" i="54"/>
  <c r="F25" i="40" s="1"/>
  <c r="F25" i="54"/>
  <c r="G25" i="40" s="1"/>
  <c r="G25" i="54"/>
  <c r="H25" i="40" s="1"/>
  <c r="H25" i="54"/>
  <c r="I25" i="40" s="1"/>
  <c r="I25" i="54"/>
  <c r="J25" i="40" s="1"/>
  <c r="D26" i="54"/>
  <c r="E26" i="40" s="1"/>
  <c r="E26" i="54"/>
  <c r="F26" i="40" s="1"/>
  <c r="F26" i="54"/>
  <c r="G26" i="40" s="1"/>
  <c r="G26" i="54"/>
  <c r="H26" i="40" s="1"/>
  <c r="H26" i="54"/>
  <c r="I26" i="40" s="1"/>
  <c r="I26" i="54"/>
  <c r="J26" i="40" s="1"/>
  <c r="D27" i="54"/>
  <c r="E27" i="40" s="1"/>
  <c r="E27" i="54"/>
  <c r="F27" i="40" s="1"/>
  <c r="F27" i="54"/>
  <c r="G27" i="40" s="1"/>
  <c r="G27" i="54"/>
  <c r="H27" i="40" s="1"/>
  <c r="H27" i="54"/>
  <c r="I27" i="40" s="1"/>
  <c r="I27" i="54"/>
  <c r="J27" i="40" s="1"/>
  <c r="D28" i="54"/>
  <c r="E28" i="40" s="1"/>
  <c r="E28" i="54"/>
  <c r="F28" i="40" s="1"/>
  <c r="F28" i="54"/>
  <c r="G28" i="40" s="1"/>
  <c r="G28" i="54"/>
  <c r="H28" i="40" s="1"/>
  <c r="H28" i="54"/>
  <c r="I28" i="40" s="1"/>
  <c r="I28" i="54"/>
  <c r="J28" i="40" s="1"/>
  <c r="D29" i="54"/>
  <c r="E29" i="40" s="1"/>
  <c r="E29" i="54"/>
  <c r="F29" i="40" s="1"/>
  <c r="F29" i="54"/>
  <c r="G29" i="40" s="1"/>
  <c r="G29" i="54"/>
  <c r="H29" i="40" s="1"/>
  <c r="H29" i="54"/>
  <c r="I29" i="40" s="1"/>
  <c r="I29" i="54"/>
  <c r="J29" i="40" s="1"/>
  <c r="D30" i="54"/>
  <c r="E30" i="40" s="1"/>
  <c r="E30" i="54"/>
  <c r="F30" i="40" s="1"/>
  <c r="F30" i="54"/>
  <c r="G30" i="40" s="1"/>
  <c r="G30" i="54"/>
  <c r="H30" i="40" s="1"/>
  <c r="H30" i="54"/>
  <c r="I30" i="40" s="1"/>
  <c r="I30" i="54"/>
  <c r="J30" i="40" s="1"/>
  <c r="D31" i="54"/>
  <c r="E31" i="40" s="1"/>
  <c r="E31" i="54"/>
  <c r="F31" i="40" s="1"/>
  <c r="F31" i="54"/>
  <c r="G31" i="40" s="1"/>
  <c r="G31" i="54"/>
  <c r="H31" i="40" s="1"/>
  <c r="H31" i="54"/>
  <c r="I31" i="40" s="1"/>
  <c r="I31" i="54"/>
  <c r="J31" i="40" s="1"/>
  <c r="D32" i="54"/>
  <c r="E32" i="40" s="1"/>
  <c r="E32" i="54"/>
  <c r="F32" i="40" s="1"/>
  <c r="F32" i="54"/>
  <c r="G32" i="40" s="1"/>
  <c r="G32" i="54"/>
  <c r="H32" i="40" s="1"/>
  <c r="H32" i="54"/>
  <c r="I32" i="40" s="1"/>
  <c r="I32" i="54"/>
  <c r="J32" i="40" s="1"/>
  <c r="D33" i="54"/>
  <c r="E33" i="40" s="1"/>
  <c r="E33" i="54"/>
  <c r="F33" i="40" s="1"/>
  <c r="F33" i="54"/>
  <c r="G33" i="40" s="1"/>
  <c r="G33" i="54"/>
  <c r="H33" i="40" s="1"/>
  <c r="H33" i="54"/>
  <c r="I33" i="40" s="1"/>
  <c r="I33" i="54"/>
  <c r="J33" i="40" s="1"/>
  <c r="D34" i="54"/>
  <c r="E34" i="40" s="1"/>
  <c r="E34" i="54"/>
  <c r="F34" i="40" s="1"/>
  <c r="F34" i="54"/>
  <c r="G34" i="40" s="1"/>
  <c r="G34" i="54"/>
  <c r="H34" i="40" s="1"/>
  <c r="H34" i="54"/>
  <c r="I34" i="40" s="1"/>
  <c r="I34" i="54"/>
  <c r="J34" i="40" s="1"/>
  <c r="D35" i="54"/>
  <c r="E35" i="40" s="1"/>
  <c r="E35" i="54"/>
  <c r="F35" i="40" s="1"/>
  <c r="F35" i="54"/>
  <c r="G35" i="40" s="1"/>
  <c r="G35" i="54"/>
  <c r="H35" i="40" s="1"/>
  <c r="H35" i="54"/>
  <c r="I35" i="40" s="1"/>
  <c r="I35" i="54"/>
  <c r="J35" i="40" s="1"/>
  <c r="D36" i="54"/>
  <c r="E36" i="40" s="1"/>
  <c r="E36" i="54"/>
  <c r="F36" i="40" s="1"/>
  <c r="F36" i="54"/>
  <c r="G36" i="40" s="1"/>
  <c r="G36" i="54"/>
  <c r="H36" i="40" s="1"/>
  <c r="H36" i="54"/>
  <c r="I36" i="40" s="1"/>
  <c r="I36" i="54"/>
  <c r="J36" i="40" s="1"/>
  <c r="D37" i="54"/>
  <c r="E37" i="40" s="1"/>
  <c r="E37" i="54"/>
  <c r="F37" i="40" s="1"/>
  <c r="F37" i="54"/>
  <c r="G37" i="40" s="1"/>
  <c r="G37" i="54"/>
  <c r="H37" i="40" s="1"/>
  <c r="H37" i="54"/>
  <c r="I37" i="40" s="1"/>
  <c r="I37" i="54"/>
  <c r="J37" i="40" s="1"/>
  <c r="D38" i="54"/>
  <c r="E38" i="40" s="1"/>
  <c r="E38" i="54"/>
  <c r="F38" i="40" s="1"/>
  <c r="F38" i="54"/>
  <c r="G38" i="40" s="1"/>
  <c r="G38" i="54"/>
  <c r="H38" i="40" s="1"/>
  <c r="H38" i="54"/>
  <c r="I38" i="40" s="1"/>
  <c r="I38" i="54"/>
  <c r="J38" i="40" s="1"/>
  <c r="D39" i="54"/>
  <c r="E39" i="40" s="1"/>
  <c r="E39" i="54"/>
  <c r="F39" i="40" s="1"/>
  <c r="F39" i="54"/>
  <c r="G39" i="40" s="1"/>
  <c r="G39" i="54"/>
  <c r="H39" i="40" s="1"/>
  <c r="H39" i="54"/>
  <c r="I39" i="40" s="1"/>
  <c r="I39" i="54"/>
  <c r="J39" i="40" s="1"/>
  <c r="D40" i="54"/>
  <c r="E40" i="40" s="1"/>
  <c r="E40" i="54"/>
  <c r="F40" i="40" s="1"/>
  <c r="F40" i="54"/>
  <c r="G40" i="40" s="1"/>
  <c r="G40" i="54"/>
  <c r="H40" i="40" s="1"/>
  <c r="H40" i="54"/>
  <c r="I40" i="40" s="1"/>
  <c r="I40" i="54"/>
  <c r="J40" i="40" s="1"/>
  <c r="D41" i="54"/>
  <c r="E41" i="40" s="1"/>
  <c r="E41" i="54"/>
  <c r="F41" i="40" s="1"/>
  <c r="F41" i="54"/>
  <c r="G41" i="40" s="1"/>
  <c r="G41" i="54"/>
  <c r="H41" i="40" s="1"/>
  <c r="H41" i="54"/>
  <c r="I41" i="40" s="1"/>
  <c r="I41" i="54"/>
  <c r="J41" i="40" s="1"/>
  <c r="D42" i="54"/>
  <c r="E42" i="40" s="1"/>
  <c r="E42" i="54"/>
  <c r="F42" i="40" s="1"/>
  <c r="F42" i="54"/>
  <c r="G42" i="40" s="1"/>
  <c r="G42" i="54"/>
  <c r="H42" i="40" s="1"/>
  <c r="H42" i="54"/>
  <c r="I42" i="40" s="1"/>
  <c r="I42" i="54"/>
  <c r="J42" i="40" s="1"/>
  <c r="D43" i="54"/>
  <c r="E43" i="40" s="1"/>
  <c r="E43" i="54"/>
  <c r="F43" i="40" s="1"/>
  <c r="F43" i="54"/>
  <c r="G43" i="40" s="1"/>
  <c r="G43" i="54"/>
  <c r="H43" i="40" s="1"/>
  <c r="H43" i="54"/>
  <c r="I43" i="40" s="1"/>
  <c r="I43" i="54"/>
  <c r="J43" i="40" s="1"/>
  <c r="D44" i="54"/>
  <c r="E44" i="40" s="1"/>
  <c r="E44" i="54"/>
  <c r="F44" i="40" s="1"/>
  <c r="F44" i="54"/>
  <c r="G44" i="40" s="1"/>
  <c r="G44" i="54"/>
  <c r="H44" i="40" s="1"/>
  <c r="H44" i="54"/>
  <c r="I44" i="40" s="1"/>
  <c r="I44" i="54"/>
  <c r="J44" i="40" s="1"/>
  <c r="D45" i="54"/>
  <c r="E45" i="40" s="1"/>
  <c r="E45" i="54"/>
  <c r="F45" i="40" s="1"/>
  <c r="F45" i="54"/>
  <c r="G45" i="40" s="1"/>
  <c r="G45" i="54"/>
  <c r="H45" i="40" s="1"/>
  <c r="H45" i="54"/>
  <c r="I45" i="40" s="1"/>
  <c r="I45" i="54"/>
  <c r="J45" i="40" s="1"/>
  <c r="D46" i="54"/>
  <c r="E46" i="40" s="1"/>
  <c r="E46" i="54"/>
  <c r="F46" i="40" s="1"/>
  <c r="F46" i="54"/>
  <c r="G46" i="40" s="1"/>
  <c r="G46" i="54"/>
  <c r="H46" i="40" s="1"/>
  <c r="H46" i="54"/>
  <c r="I46" i="40" s="1"/>
  <c r="I46" i="54"/>
  <c r="J46" i="40" s="1"/>
  <c r="D47" i="54"/>
  <c r="E47" i="40" s="1"/>
  <c r="E47" i="54"/>
  <c r="F47" i="40" s="1"/>
  <c r="F47" i="54"/>
  <c r="G47" i="40" s="1"/>
  <c r="G47" i="54"/>
  <c r="H47" i="40" s="1"/>
  <c r="H47" i="54"/>
  <c r="I47" i="40" s="1"/>
  <c r="I47" i="54"/>
  <c r="J47" i="40" s="1"/>
  <c r="D48" i="54"/>
  <c r="E48" i="40" s="1"/>
  <c r="E48" i="54"/>
  <c r="F48" i="40" s="1"/>
  <c r="F48" i="54"/>
  <c r="G48" i="40" s="1"/>
  <c r="G48" i="54"/>
  <c r="H48" i="40" s="1"/>
  <c r="H48" i="54"/>
  <c r="I48" i="40" s="1"/>
  <c r="I48" i="54"/>
  <c r="J48" i="40" s="1"/>
  <c r="D49" i="54"/>
  <c r="E49" i="40" s="1"/>
  <c r="E49" i="54"/>
  <c r="F49" i="40" s="1"/>
  <c r="F49" i="54"/>
  <c r="G49" i="40" s="1"/>
  <c r="G49" i="54"/>
  <c r="H49" i="40" s="1"/>
  <c r="H49" i="54"/>
  <c r="I49" i="40" s="1"/>
  <c r="I49" i="54"/>
  <c r="J49" i="40" s="1"/>
  <c r="D50" i="54"/>
  <c r="E50" i="40" s="1"/>
  <c r="E50" i="54"/>
  <c r="F50" i="40" s="1"/>
  <c r="F50" i="54"/>
  <c r="G50" i="40" s="1"/>
  <c r="G50" i="54"/>
  <c r="H50" i="40" s="1"/>
  <c r="H50" i="54"/>
  <c r="I50" i="40" s="1"/>
  <c r="I50" i="54"/>
  <c r="J50" i="40" s="1"/>
  <c r="D51" i="54"/>
  <c r="E51" i="40" s="1"/>
  <c r="E51" i="54"/>
  <c r="F51" i="40" s="1"/>
  <c r="F51" i="54"/>
  <c r="G51" i="40" s="1"/>
  <c r="G51" i="54"/>
  <c r="H51" i="40" s="1"/>
  <c r="H51" i="54"/>
  <c r="I51" i="40" s="1"/>
  <c r="I51" i="54"/>
  <c r="J51" i="40" s="1"/>
  <c r="D52" i="54"/>
  <c r="E52" i="40" s="1"/>
  <c r="E52" i="54"/>
  <c r="F52" i="40" s="1"/>
  <c r="F52" i="54"/>
  <c r="G52" i="40" s="1"/>
  <c r="G52" i="54"/>
  <c r="H52" i="40" s="1"/>
  <c r="H52" i="54"/>
  <c r="I52" i="40" s="1"/>
  <c r="I52" i="54"/>
  <c r="J52" i="40" s="1"/>
  <c r="D53" i="54"/>
  <c r="E53" i="40" s="1"/>
  <c r="E53" i="54"/>
  <c r="F53" i="40" s="1"/>
  <c r="F53" i="54"/>
  <c r="G53" i="40" s="1"/>
  <c r="G53" i="54"/>
  <c r="H53" i="40" s="1"/>
  <c r="H53" i="54"/>
  <c r="I53" i="40" s="1"/>
  <c r="I53" i="54"/>
  <c r="J53" i="40" s="1"/>
  <c r="D54" i="54"/>
  <c r="E54" i="40" s="1"/>
  <c r="E54" i="54"/>
  <c r="F54" i="40" s="1"/>
  <c r="F54" i="54"/>
  <c r="G54" i="40" s="1"/>
  <c r="G54" i="54"/>
  <c r="H54" i="40" s="1"/>
  <c r="H54" i="54"/>
  <c r="I54" i="40" s="1"/>
  <c r="I54" i="54"/>
  <c r="J54" i="40" s="1"/>
  <c r="D55" i="54"/>
  <c r="E55" i="40" s="1"/>
  <c r="E55" i="54"/>
  <c r="F55" i="40" s="1"/>
  <c r="F55" i="54"/>
  <c r="G55" i="40" s="1"/>
  <c r="G55" i="54"/>
  <c r="H55" i="40" s="1"/>
  <c r="H55" i="54"/>
  <c r="I55" i="40" s="1"/>
  <c r="I55" i="54"/>
  <c r="J55" i="40" s="1"/>
  <c r="D56" i="54"/>
  <c r="E56" i="40" s="1"/>
  <c r="E56" i="54"/>
  <c r="F56" i="40" s="1"/>
  <c r="F56" i="54"/>
  <c r="G56" i="40" s="1"/>
  <c r="G56" i="54"/>
  <c r="H56" i="40" s="1"/>
  <c r="H56" i="54"/>
  <c r="I56" i="40" s="1"/>
  <c r="I56" i="54"/>
  <c r="J56" i="40" s="1"/>
  <c r="D57" i="54"/>
  <c r="E57" i="40" s="1"/>
  <c r="E57" i="54"/>
  <c r="F57" i="40" s="1"/>
  <c r="F57" i="54"/>
  <c r="G57" i="40" s="1"/>
  <c r="G57" i="54"/>
  <c r="H57" i="40" s="1"/>
  <c r="H57" i="54"/>
  <c r="I57" i="40" s="1"/>
  <c r="I57" i="54"/>
  <c r="J57" i="40" s="1"/>
  <c r="D58" i="54"/>
  <c r="E58" i="40" s="1"/>
  <c r="E58" i="54"/>
  <c r="F58" i="40" s="1"/>
  <c r="F58" i="54"/>
  <c r="G58" i="40" s="1"/>
  <c r="G58" i="54"/>
  <c r="H58" i="40" s="1"/>
  <c r="H58" i="54"/>
  <c r="I58" i="40" s="1"/>
  <c r="I58" i="54"/>
  <c r="J58" i="40" s="1"/>
  <c r="I2" i="54"/>
  <c r="J2" i="40" s="1"/>
  <c r="H2" i="54"/>
  <c r="I2" i="40" s="1"/>
  <c r="G2" i="54"/>
  <c r="H2" i="40" s="1"/>
  <c r="F2" i="54"/>
  <c r="G2" i="40" s="1"/>
  <c r="E2" i="54"/>
  <c r="F2" i="40" s="1"/>
  <c r="D2" i="54"/>
  <c r="E2" i="40" s="1"/>
  <c r="C59" i="40" l="1"/>
  <c r="C57" i="40"/>
  <c r="C55" i="40"/>
  <c r="C53" i="40"/>
  <c r="C51" i="40"/>
  <c r="C49" i="40"/>
  <c r="C47" i="40"/>
  <c r="C45" i="40"/>
  <c r="C43" i="40"/>
  <c r="C41" i="40"/>
  <c r="C39" i="40"/>
  <c r="C37" i="40"/>
  <c r="C35" i="40"/>
  <c r="C33" i="40"/>
  <c r="C31" i="40"/>
  <c r="C29" i="40"/>
  <c r="C27" i="40"/>
  <c r="C25" i="40"/>
  <c r="C23" i="40"/>
  <c r="C21" i="40"/>
  <c r="C19" i="40"/>
  <c r="C17" i="40"/>
  <c r="C15" i="40"/>
  <c r="C13" i="40"/>
  <c r="C11" i="40"/>
  <c r="C9" i="40"/>
  <c r="C7" i="40"/>
  <c r="C5" i="40"/>
  <c r="C3" i="40"/>
  <c r="C58" i="40"/>
  <c r="C56" i="40"/>
  <c r="C54" i="40"/>
  <c r="C52" i="40"/>
  <c r="C50" i="40"/>
  <c r="C48" i="40"/>
  <c r="C46" i="40"/>
  <c r="C44" i="40"/>
  <c r="C42" i="40"/>
  <c r="C40" i="40"/>
  <c r="C38" i="40"/>
  <c r="C36" i="40"/>
  <c r="C34" i="40"/>
  <c r="C32" i="40"/>
  <c r="C30" i="40"/>
  <c r="C28" i="40"/>
  <c r="C26" i="40"/>
  <c r="C24" i="40"/>
  <c r="C22" i="40"/>
  <c r="C20" i="40"/>
  <c r="C18" i="40"/>
  <c r="C16" i="40"/>
  <c r="C14" i="40"/>
  <c r="C12" i="40"/>
  <c r="C10" i="40"/>
  <c r="C8" i="40"/>
  <c r="C6" i="40"/>
  <c r="C4" i="40"/>
  <c r="C2" i="40"/>
  <c r="E3" i="30"/>
  <c r="E2" i="30"/>
  <c r="B3" i="30"/>
  <c r="B2" i="30"/>
  <c r="F3" i="31"/>
  <c r="F4" i="31"/>
  <c r="F5" i="31"/>
  <c r="F6" i="31"/>
  <c r="F2" i="31"/>
  <c r="F3" i="29"/>
  <c r="F4" i="29"/>
  <c r="F5" i="29"/>
  <c r="F2" i="29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H3" i="51"/>
  <c r="H4" i="51"/>
  <c r="H5" i="51"/>
  <c r="H2" i="51"/>
  <c r="F3" i="49"/>
  <c r="F4" i="49"/>
  <c r="F5" i="49"/>
  <c r="F6" i="49"/>
  <c r="F2" i="49"/>
  <c r="F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I3" i="36"/>
  <c r="I4" i="36"/>
  <c r="I5" i="36"/>
  <c r="I6" i="36"/>
  <c r="I7" i="36"/>
  <c r="I8" i="36"/>
  <c r="I9" i="36"/>
  <c r="I10" i="36"/>
  <c r="I11" i="36"/>
  <c r="I12" i="36"/>
  <c r="I13" i="36"/>
  <c r="I14" i="36"/>
  <c r="I15" i="36"/>
  <c r="I16" i="36"/>
  <c r="I17" i="36"/>
  <c r="I18" i="36"/>
  <c r="I19" i="36"/>
  <c r="I20" i="36"/>
  <c r="I21" i="36"/>
  <c r="I22" i="36"/>
  <c r="I23" i="36"/>
  <c r="I24" i="36"/>
  <c r="I25" i="36"/>
  <c r="I26" i="36"/>
  <c r="I27" i="36"/>
  <c r="I28" i="36"/>
  <c r="I29" i="36"/>
  <c r="I30" i="36"/>
  <c r="I31" i="36"/>
  <c r="I32" i="36"/>
  <c r="I33" i="36"/>
  <c r="I34" i="36"/>
  <c r="I35" i="36"/>
  <c r="I36" i="36"/>
  <c r="I37" i="36"/>
  <c r="I38" i="36"/>
  <c r="I39" i="36"/>
  <c r="I40" i="36"/>
  <c r="I2" i="36"/>
  <c r="G2" i="52" l="1"/>
  <c r="I3" i="51"/>
  <c r="I4" i="51"/>
  <c r="I5" i="51"/>
  <c r="I2" i="51"/>
  <c r="E3" i="50"/>
  <c r="E2" i="50"/>
  <c r="H3" i="49"/>
  <c r="H4" i="49"/>
  <c r="H5" i="49"/>
  <c r="H6" i="49"/>
  <c r="H2" i="49"/>
  <c r="D41" i="34" l="1"/>
  <c r="D42" i="34"/>
  <c r="D43" i="34"/>
  <c r="B2" i="34"/>
  <c r="H2" i="34" s="1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2" i="36"/>
  <c r="B2" i="36"/>
  <c r="K2" i="36" s="1"/>
  <c r="B2" i="31"/>
  <c r="G2" i="31" s="1"/>
  <c r="E2" i="31"/>
  <c r="H3" i="50"/>
  <c r="B3" i="50"/>
  <c r="F4" i="51"/>
  <c r="F2" i="51"/>
  <c r="F3" i="51"/>
  <c r="F5" i="51"/>
  <c r="B3" i="31" l="1"/>
  <c r="B3" i="34"/>
  <c r="D2" i="34"/>
  <c r="B3" i="36"/>
  <c r="D3" i="34" s="1"/>
  <c r="B4" i="31" l="1"/>
  <c r="G3" i="31"/>
  <c r="B4" i="34"/>
  <c r="H3" i="34"/>
  <c r="B4" i="36"/>
  <c r="D4" i="34" s="1"/>
  <c r="K3" i="36"/>
  <c r="B5" i="31" l="1"/>
  <c r="G4" i="31"/>
  <c r="B5" i="34"/>
  <c r="H4" i="34"/>
  <c r="B5" i="36"/>
  <c r="D5" i="34" s="1"/>
  <c r="K4" i="36"/>
  <c r="H2" i="50"/>
  <c r="B2" i="29"/>
  <c r="B3" i="29" s="1"/>
  <c r="B4" i="29" s="1"/>
  <c r="B5" i="29" s="1"/>
  <c r="B2" i="52"/>
  <c r="B2" i="51"/>
  <c r="B3" i="51" s="1"/>
  <c r="B4" i="51" s="1"/>
  <c r="K4" i="51" s="1"/>
  <c r="B2" i="50"/>
  <c r="B2" i="49"/>
  <c r="B3" i="49" s="1"/>
  <c r="I2" i="52"/>
  <c r="E3" i="34" l="1"/>
  <c r="E2" i="34"/>
  <c r="E4" i="31"/>
  <c r="E5" i="31"/>
  <c r="E6" i="31"/>
  <c r="E3" i="31"/>
  <c r="B6" i="31"/>
  <c r="G6" i="31" s="1"/>
  <c r="G5" i="31"/>
  <c r="J2" i="49"/>
  <c r="B6" i="34"/>
  <c r="H5" i="34"/>
  <c r="B6" i="36"/>
  <c r="D6" i="34" s="1"/>
  <c r="K5" i="36"/>
  <c r="J3" i="49"/>
  <c r="B4" i="49"/>
  <c r="K3" i="51"/>
  <c r="K2" i="51"/>
  <c r="B7" i="34" l="1"/>
  <c r="H6" i="34"/>
  <c r="B7" i="36"/>
  <c r="D7" i="34" s="1"/>
  <c r="K6" i="36"/>
  <c r="J4" i="49"/>
  <c r="B5" i="49"/>
  <c r="B5" i="51"/>
  <c r="B8" i="34" l="1"/>
  <c r="H7" i="34"/>
  <c r="B8" i="36"/>
  <c r="D8" i="34" s="1"/>
  <c r="K7" i="36"/>
  <c r="J5" i="49"/>
  <c r="B6" i="49"/>
  <c r="K5" i="51"/>
  <c r="B9" i="34" l="1"/>
  <c r="H8" i="34"/>
  <c r="B9" i="36"/>
  <c r="D9" i="34" s="1"/>
  <c r="K8" i="36"/>
  <c r="J6" i="49"/>
  <c r="B10" i="34" l="1"/>
  <c r="H9" i="34"/>
  <c r="B10" i="36"/>
  <c r="D10" i="34" s="1"/>
  <c r="K9" i="36"/>
  <c r="B11" i="34" l="1"/>
  <c r="H10" i="34"/>
  <c r="B11" i="36"/>
  <c r="D11" i="34" s="1"/>
  <c r="K10" i="36"/>
  <c r="B12" i="34" l="1"/>
  <c r="H11" i="34"/>
  <c r="B12" i="36"/>
  <c r="D12" i="34" s="1"/>
  <c r="K11" i="36"/>
  <c r="B13" i="34" l="1"/>
  <c r="H12" i="34"/>
  <c r="B13" i="36"/>
  <c r="D13" i="34" s="1"/>
  <c r="K12" i="36"/>
  <c r="B14" i="34" l="1"/>
  <c r="H13" i="34"/>
  <c r="B14" i="36"/>
  <c r="D14" i="34" s="1"/>
  <c r="K13" i="36"/>
  <c r="B15" i="34" l="1"/>
  <c r="H14" i="34"/>
  <c r="B15" i="36"/>
  <c r="D15" i="34" s="1"/>
  <c r="K14" i="36"/>
  <c r="B16" i="34" l="1"/>
  <c r="H15" i="34"/>
  <c r="B16" i="36"/>
  <c r="D16" i="34" s="1"/>
  <c r="K15" i="36"/>
  <c r="B17" i="34" l="1"/>
  <c r="H16" i="34"/>
  <c r="B17" i="36"/>
  <c r="D17" i="34" s="1"/>
  <c r="K16" i="36"/>
  <c r="B18" i="34" l="1"/>
  <c r="H17" i="34"/>
  <c r="B18" i="36"/>
  <c r="D18" i="34" s="1"/>
  <c r="K17" i="36"/>
  <c r="B19" i="34" l="1"/>
  <c r="H18" i="34"/>
  <c r="B19" i="36"/>
  <c r="D19" i="34" s="1"/>
  <c r="K18" i="36"/>
  <c r="B20" i="34" l="1"/>
  <c r="H19" i="34"/>
  <c r="B20" i="36"/>
  <c r="D20" i="34" s="1"/>
  <c r="K19" i="36"/>
  <c r="B21" i="34" l="1"/>
  <c r="H20" i="34"/>
  <c r="B21" i="36"/>
  <c r="D21" i="34" s="1"/>
  <c r="K20" i="36"/>
  <c r="B22" i="34" l="1"/>
  <c r="H21" i="34"/>
  <c r="B22" i="36"/>
  <c r="D22" i="34" s="1"/>
  <c r="K21" i="36"/>
  <c r="B23" i="34" l="1"/>
  <c r="H22" i="34"/>
  <c r="B23" i="36"/>
  <c r="D23" i="34" s="1"/>
  <c r="K22" i="36"/>
  <c r="B24" i="34" l="1"/>
  <c r="H23" i="34"/>
  <c r="B24" i="36"/>
  <c r="D24" i="34" s="1"/>
  <c r="K23" i="36"/>
  <c r="B25" i="34" l="1"/>
  <c r="H24" i="34"/>
  <c r="B25" i="36"/>
  <c r="D25" i="34" s="1"/>
  <c r="K24" i="36"/>
  <c r="B26" i="34" l="1"/>
  <c r="H25" i="34"/>
  <c r="B26" i="36"/>
  <c r="D26" i="34" s="1"/>
  <c r="K25" i="36"/>
  <c r="B27" i="34" l="1"/>
  <c r="H26" i="34"/>
  <c r="B27" i="36"/>
  <c r="D27" i="34" s="1"/>
  <c r="K26" i="36"/>
  <c r="B28" i="34" l="1"/>
  <c r="H27" i="34"/>
  <c r="B28" i="36"/>
  <c r="D28" i="34" s="1"/>
  <c r="K27" i="36"/>
  <c r="B29" i="34" l="1"/>
  <c r="H28" i="34"/>
  <c r="B29" i="36"/>
  <c r="D29" i="34" s="1"/>
  <c r="K28" i="36"/>
  <c r="B30" i="34" l="1"/>
  <c r="H29" i="34"/>
  <c r="B30" i="36"/>
  <c r="D30" i="34" s="1"/>
  <c r="K29" i="36"/>
  <c r="B31" i="34" l="1"/>
  <c r="H30" i="34"/>
  <c r="B31" i="36"/>
  <c r="D31" i="34" s="1"/>
  <c r="K30" i="36"/>
  <c r="B32" i="34" l="1"/>
  <c r="H31" i="34"/>
  <c r="B32" i="36"/>
  <c r="D32" i="34" s="1"/>
  <c r="K31" i="36"/>
  <c r="B33" i="34" l="1"/>
  <c r="H32" i="34"/>
  <c r="B33" i="36"/>
  <c r="D33" i="34" s="1"/>
  <c r="K32" i="36"/>
  <c r="B34" i="34" l="1"/>
  <c r="H33" i="34"/>
  <c r="B34" i="36"/>
  <c r="D34" i="34" s="1"/>
  <c r="K33" i="36"/>
  <c r="B35" i="34" l="1"/>
  <c r="H34" i="34"/>
  <c r="B35" i="36"/>
  <c r="D35" i="34" s="1"/>
  <c r="K34" i="36"/>
  <c r="B36" i="34" l="1"/>
  <c r="H35" i="34"/>
  <c r="B36" i="36"/>
  <c r="D36" i="34" s="1"/>
  <c r="K35" i="36"/>
  <c r="B37" i="34" l="1"/>
  <c r="H36" i="34"/>
  <c r="B37" i="36"/>
  <c r="D37" i="34" s="1"/>
  <c r="K36" i="36"/>
  <c r="B38" i="34" l="1"/>
  <c r="H37" i="34"/>
  <c r="B38" i="36"/>
  <c r="D38" i="34" s="1"/>
  <c r="K37" i="36"/>
  <c r="B39" i="34" l="1"/>
  <c r="H38" i="34"/>
  <c r="B39" i="36"/>
  <c r="D39" i="34" s="1"/>
  <c r="K38" i="36"/>
  <c r="B40" i="34" l="1"/>
  <c r="H39" i="34"/>
  <c r="B40" i="36"/>
  <c r="K39" i="36"/>
  <c r="B41" i="34" l="1"/>
  <c r="H40" i="34"/>
  <c r="K40" i="36"/>
  <c r="D40" i="34"/>
  <c r="B42" i="34" l="1"/>
  <c r="H41" i="34"/>
  <c r="B43" i="34" l="1"/>
  <c r="H43" i="34" s="1"/>
  <c r="H42" i="34"/>
</calcChain>
</file>

<file path=xl/sharedStrings.xml><?xml version="1.0" encoding="utf-8"?>
<sst xmlns="http://schemas.openxmlformats.org/spreadsheetml/2006/main" count="3091" uniqueCount="1207">
  <si>
    <t>City</t>
  </si>
  <si>
    <t>Surrey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</si>
  <si>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</si>
  <si>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</si>
  <si>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</si>
  <si>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</si>
  <si>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</si>
  <si>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</si>
  <si>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</si>
  <si>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</si>
  <si>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</si>
  <si>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</si>
  <si>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P</t>
  </si>
  <si>
    <t>S</t>
  </si>
  <si>
    <t>W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</si>
  <si>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</si>
  <si>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</si>
  <si>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</si>
  <si>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</si>
  <si>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</si>
  <si>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</si>
  <si>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</si>
  <si>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</si>
  <si>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</si>
  <si>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</si>
  <si>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</si>
  <si>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</si>
  <si>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</si>
  <si>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</si>
  <si>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</si>
  <si>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</si>
  <si>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</si>
  <si>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</si>
  <si>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</si>
  <si>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</si>
  <si>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</si>
  <si>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</si>
  <si>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</si>
  <si>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</si>
  <si>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</si>
  <si>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</si>
  <si>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</si>
  <si>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</si>
  <si>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</si>
  <si>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</si>
  <si>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</si>
  <si>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</si>
  <si>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</si>
  <si>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</si>
  <si>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</si>
  <si>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</si>
  <si>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</si>
  <si>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</si>
  <si>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J</t>
  </si>
  <si>
    <t>Smith</t>
  </si>
  <si>
    <t>BC</t>
  </si>
  <si>
    <t>CA</t>
  </si>
  <si>
    <t>Canada</t>
  </si>
  <si>
    <t>Visa</t>
  </si>
  <si>
    <t>Blue</t>
  </si>
  <si>
    <t>O-</t>
  </si>
  <si>
    <t>female</t>
  </si>
  <si>
    <t>Ms.</t>
  </si>
  <si>
    <t>Judy</t>
  </si>
  <si>
    <t>Holbert</t>
  </si>
  <si>
    <t>MasterCard</t>
  </si>
  <si>
    <t>Orange</t>
  </si>
  <si>
    <t>A-</t>
  </si>
  <si>
    <t>5' 1"</t>
  </si>
  <si>
    <t>Clayton</t>
  </si>
  <si>
    <t>McCullough</t>
  </si>
  <si>
    <t>A+</t>
  </si>
  <si>
    <t>5' 9"</t>
  </si>
  <si>
    <t>Mrs.</t>
  </si>
  <si>
    <t>Betty</t>
  </si>
  <si>
    <t>Tacker</t>
  </si>
  <si>
    <t>Brown</t>
  </si>
  <si>
    <t>Purple</t>
  </si>
  <si>
    <t>Gayle</t>
  </si>
  <si>
    <t>York</t>
  </si>
  <si>
    <t>O+</t>
  </si>
  <si>
    <t>5' 6"</t>
  </si>
  <si>
    <t>Brian</t>
  </si>
  <si>
    <t>Healey</t>
  </si>
  <si>
    <t>Rosa</t>
  </si>
  <si>
    <t>Mayer</t>
  </si>
  <si>
    <t>Otorhinolaryngology nurse</t>
  </si>
  <si>
    <t>AB+</t>
  </si>
  <si>
    <t>5' 5"</t>
  </si>
  <si>
    <t>Albert</t>
  </si>
  <si>
    <t>A</t>
  </si>
  <si>
    <t>Mills</t>
  </si>
  <si>
    <t>B+</t>
  </si>
  <si>
    <t>Cynthia</t>
  </si>
  <si>
    <t>K</t>
  </si>
  <si>
    <t>Whipple</t>
  </si>
  <si>
    <t>Red</t>
  </si>
  <si>
    <t>5' 8"</t>
  </si>
  <si>
    <t>Michael</t>
  </si>
  <si>
    <t>Washington</t>
  </si>
  <si>
    <t>6' 0"</t>
  </si>
  <si>
    <t>Sarah</t>
  </si>
  <si>
    <t>Ward</t>
  </si>
  <si>
    <t>Williams</t>
  </si>
  <si>
    <t>5' 7"</t>
  </si>
  <si>
    <t>Harry</t>
  </si>
  <si>
    <t>Solomon</t>
  </si>
  <si>
    <t>Johnson</t>
  </si>
  <si>
    <t>Green</t>
  </si>
  <si>
    <t>Cheryl</t>
  </si>
  <si>
    <t>Wilkerson</t>
  </si>
  <si>
    <t>5' 10"</t>
  </si>
  <si>
    <t>Celia</t>
  </si>
  <si>
    <t>Schreier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</si>
  <si>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</si>
  <si>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</si>
  <si>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</si>
  <si>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</si>
  <si>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</si>
  <si>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</si>
  <si>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</si>
  <si>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</si>
  <si>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</si>
  <si>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</si>
  <si>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</si>
  <si>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</si>
  <si>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</si>
  <si>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</si>
  <si>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</si>
  <si>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</si>
  <si>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</si>
  <si>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</si>
  <si>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</si>
  <si>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Joshua</t>
  </si>
  <si>
    <t>Bjork</t>
  </si>
  <si>
    <t>Jones</t>
  </si>
  <si>
    <t>Black</t>
  </si>
  <si>
    <t>Patricia</t>
  </si>
  <si>
    <t>Riley</t>
  </si>
  <si>
    <t>Beverly</t>
  </si>
  <si>
    <t>Clyde</t>
  </si>
  <si>
    <t>Bill</t>
  </si>
  <si>
    <t>M</t>
  </si>
  <si>
    <t>Finley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</si>
  <si>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</si>
  <si>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</si>
  <si>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</si>
  <si>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</si>
  <si>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</si>
  <si>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</si>
  <si>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</si>
  <si>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</si>
  <si>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</si>
  <si>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</si>
  <si>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</si>
  <si>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</si>
  <si>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</si>
  <si>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</si>
  <si>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</si>
  <si>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</si>
  <si>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</si>
  <si>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</si>
  <si>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David</t>
  </si>
  <si>
    <t>Kelly</t>
  </si>
  <si>
    <t>Emory</t>
  </si>
  <si>
    <t>Hanson</t>
  </si>
  <si>
    <t>Universo Realtors</t>
  </si>
  <si>
    <t>5' 11"</t>
  </si>
  <si>
    <t>Richard</t>
  </si>
  <si>
    <t>Turner</t>
  </si>
  <si>
    <t>Cletus</t>
  </si>
  <si>
    <t>Hill</t>
  </si>
  <si>
    <t>6' 2"</t>
  </si>
  <si>
    <t>Nancy</t>
  </si>
  <si>
    <t>F</t>
  </si>
  <si>
    <t>Foley</t>
  </si>
  <si>
    <t>Nichole</t>
  </si>
  <si>
    <t>Mitchell</t>
  </si>
  <si>
    <t>5' 3"</t>
  </si>
  <si>
    <t>Ricky</t>
  </si>
  <si>
    <t>Nestor</t>
  </si>
  <si>
    <t>Rodriguez</t>
  </si>
  <si>
    <t>Dorothy</t>
  </si>
  <si>
    <t>Fisher</t>
  </si>
  <si>
    <t>Gonzalez</t>
  </si>
  <si>
    <t>Sales worker supervisor</t>
  </si>
  <si>
    <t>ElderWebsite.ca</t>
  </si>
  <si>
    <t>Bruce</t>
  </si>
  <si>
    <t>Welsh</t>
  </si>
  <si>
    <t>Alma</t>
  </si>
  <si>
    <t>T</t>
  </si>
  <si>
    <t>Sterling</t>
  </si>
  <si>
    <t>Hunt</t>
  </si>
  <si>
    <t>ParkingShuttle.ca</t>
  </si>
  <si>
    <t>Stephanie</t>
  </si>
  <si>
    <t>Young</t>
  </si>
  <si>
    <t>Wilma</t>
  </si>
  <si>
    <t>Urbanski</t>
  </si>
  <si>
    <t>Keli</t>
  </si>
  <si>
    <t>Warren</t>
  </si>
  <si>
    <t>Evans</t>
  </si>
  <si>
    <t>Ralph</t>
  </si>
  <si>
    <t>Graham</t>
  </si>
  <si>
    <t>Margaret</t>
  </si>
  <si>
    <t>R</t>
  </si>
  <si>
    <t>Greene</t>
  </si>
  <si>
    <t>Casual Corner</t>
  </si>
  <si>
    <t>William</t>
  </si>
  <si>
    <t>Perreault</t>
  </si>
  <si>
    <t>Thomas</t>
  </si>
  <si>
    <t>Rossi Auto Parts</t>
  </si>
  <si>
    <t>Alice</t>
  </si>
  <si>
    <t>Martin</t>
  </si>
  <si>
    <t>Keith</t>
  </si>
  <si>
    <t>The Wiz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</si>
  <si>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</si>
  <si>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</si>
  <si>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</si>
  <si>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</si>
  <si>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</si>
  <si>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</si>
  <si>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</si>
  <si>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</si>
  <si>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</si>
  <si>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</si>
  <si>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</si>
  <si>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</si>
  <si>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</si>
  <si>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</si>
  <si>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</si>
  <si>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</si>
  <si>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</si>
  <si>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2012 Fiat Croma</t>
  </si>
  <si>
    <t>MegaSolutions</t>
  </si>
  <si>
    <t>Davis</t>
  </si>
  <si>
    <t>Wright</t>
  </si>
  <si>
    <t>5' 0"</t>
  </si>
  <si>
    <t>Darryl</t>
  </si>
  <si>
    <t>Diaz</t>
  </si>
  <si>
    <t>1999 Audi RS4</t>
  </si>
  <si>
    <t>Amanda</t>
  </si>
  <si>
    <t>Position classifier</t>
  </si>
  <si>
    <t>Mary</t>
  </si>
  <si>
    <t>Burns</t>
  </si>
  <si>
    <t>Evelyn</t>
  </si>
  <si>
    <t>B-</t>
  </si>
  <si>
    <t>Frances</t>
  </si>
  <si>
    <t>Brantley</t>
  </si>
  <si>
    <t>2005 Holden Frontera</t>
  </si>
  <si>
    <t>Magik Lamp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</si>
  <si>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</si>
  <si>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</si>
  <si>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</si>
  <si>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</si>
  <si>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</si>
  <si>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</si>
  <si>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</si>
  <si>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</si>
  <si>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</si>
  <si>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</si>
  <si>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</si>
  <si>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</si>
  <si>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</si>
  <si>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Robinson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</si>
  <si>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</si>
  <si>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</si>
  <si>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</si>
  <si>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</si>
  <si>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</si>
  <si>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</si>
  <si>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</si>
  <si>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</si>
  <si>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effectiveDate</t>
  </si>
  <si>
    <t>code</t>
  </si>
  <si>
    <t>description</t>
  </si>
  <si>
    <t>rg:True</t>
  </si>
  <si>
    <t>user</t>
  </si>
  <si>
    <t>email</t>
  </si>
  <si>
    <t>surname</t>
  </si>
  <si>
    <t>givenName</t>
  </si>
  <si>
    <t>!role</t>
  </si>
  <si>
    <t>!permission</t>
  </si>
  <si>
    <t>!Role</t>
  </si>
  <si>
    <t>id</t>
  </si>
  <si>
    <t>province</t>
  </si>
  <si>
    <t>RP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</si>
  <si>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</si>
  <si>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</si>
  <si>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</si>
  <si>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</si>
  <si>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</si>
  <si>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</si>
  <si>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</si>
  <si>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</si>
  <si>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userRole</t>
  </si>
  <si>
    <t>-</t>
  </si>
  <si>
    <t>jurisdictionId</t>
  </si>
  <si>
    <t>endDate</t>
  </si>
  <si>
    <t>!id</t>
  </si>
  <si>
    <t>displayOrder</t>
  </si>
  <si>
    <t>base64Logo</t>
  </si>
  <si>
    <t>issuerURL</t>
  </si>
  <si>
    <t>shortReason</t>
  </si>
  <si>
    <t>reason</t>
  </si>
  <si>
    <t>issuerOrgTLA</t>
  </si>
  <si>
    <t>issuerOrgURL</t>
  </si>
  <si>
    <t>DID</t>
  </si>
  <si>
    <t>isOnCommonList</t>
  </si>
  <si>
    <t>JUR</t>
  </si>
  <si>
    <t>British Columbia</t>
  </si>
  <si>
    <t>BC Registry</t>
  </si>
  <si>
    <t>CT</t>
  </si>
  <si>
    <t>!Issuer</t>
  </si>
  <si>
    <t>ISVC</t>
  </si>
  <si>
    <t>BCReg</t>
  </si>
  <si>
    <t>https://bcregistries.gov.bc.ca</t>
  </si>
  <si>
    <t>Business License</t>
  </si>
  <si>
    <t>https://bizlic.gov.bc.ca</t>
  </si>
  <si>
    <t>BIZLic</t>
  </si>
  <si>
    <t>FoodSafe BC</t>
  </si>
  <si>
    <t>BCFS</t>
  </si>
  <si>
    <t>https://foodsafebc.gov.bc.ca</t>
  </si>
  <si>
    <t>Liquor Licensing Board</t>
  </si>
  <si>
    <t>Restaurant License</t>
  </si>
  <si>
    <t>Food Safety License</t>
  </si>
  <si>
    <t>Liquor Licence</t>
  </si>
  <si>
    <t>LLBC</t>
  </si>
  <si>
    <t>https://LLBC.gov.bc.ca</t>
  </si>
  <si>
    <t>DEAC</t>
  </si>
  <si>
    <t>Expired</t>
  </si>
  <si>
    <t>Claim has Expired</t>
  </si>
  <si>
    <t>Revoked</t>
  </si>
  <si>
    <t>Claim Revoked</t>
  </si>
  <si>
    <t>https://bizlic.bc.gov.ca/BusinessLicense</t>
  </si>
  <si>
    <t>https://foodsafe.bc.gov.ca/RestaurantLicense</t>
  </si>
  <si>
    <t>https://foodsafebc.bc.gov.ca/FoodSafetyLicense</t>
  </si>
  <si>
    <t>https://llbc.bc.gov.ca/LiquorLicense</t>
  </si>
  <si>
    <t>userId</t>
  </si>
  <si>
    <t>guid</t>
  </si>
  <si>
    <t>authorizationDirectory</t>
  </si>
  <si>
    <t>IDIR</t>
  </si>
  <si>
    <t>roleId</t>
  </si>
  <si>
    <t>!Jurisdiction</t>
  </si>
  <si>
    <t>abbrv</t>
  </si>
  <si>
    <t>addressee</t>
  </si>
  <si>
    <t>permissionId</t>
  </si>
  <si>
    <t>claimType</t>
  </si>
  <si>
    <t>issuerServiceId</t>
  </si>
  <si>
    <t>Certificate of Incorporation</t>
  </si>
  <si>
    <t>https://www2.gov.bc.ca/gov/content/employment-business/business/managing-a-business/permits-licences/businesses-incorporated-companies</t>
  </si>
  <si>
    <t>schema</t>
  </si>
  <si>
    <t>restaurant_name</t>
  </si>
  <si>
    <t>coverage_description</t>
  </si>
  <si>
    <t>address_line_1</t>
  </si>
  <si>
    <t>city</t>
  </si>
  <si>
    <t>postal_code</t>
  </si>
  <si>
    <t>country</t>
  </si>
  <si>
    <t>restaurant_clearance_letter.worksafe_bc</t>
  </si>
  <si>
    <t>incorporation.bc_registries</t>
  </si>
  <si>
    <t>legal_name</t>
  </si>
  <si>
    <t>pst_number.ministry_of_finance</t>
  </si>
  <si>
    <t>doing_business_as_name</t>
  </si>
  <si>
    <t>New Facility</t>
  </si>
  <si>
    <t>operating_permit.fraser_valley_health_authority</t>
  </si>
  <si>
    <t>tobacco</t>
  </si>
  <si>
    <t>capacity</t>
  </si>
  <si>
    <t>effective_date</t>
  </si>
  <si>
    <t>application_type</t>
  </si>
  <si>
    <t>liquor_license.liquor_control_and_licensing_branch</t>
  </si>
  <si>
    <t>third_party</t>
  </si>
  <si>
    <t>catering</t>
  </si>
  <si>
    <t>patio</t>
  </si>
  <si>
    <t>dancing_permitted</t>
  </si>
  <si>
    <t>treaty</t>
  </si>
  <si>
    <t>brewery</t>
  </si>
  <si>
    <t>standalone_patio</t>
  </si>
  <si>
    <t>overlap</t>
  </si>
  <si>
    <t>owner_premises</t>
  </si>
  <si>
    <t>owner_agreement</t>
  </si>
  <si>
    <t>is_owner</t>
  </si>
  <si>
    <t>number_of_employees</t>
  </si>
  <si>
    <t>business_license.city_of_surrey</t>
  </si>
  <si>
    <t>Jimmie</t>
  </si>
  <si>
    <t>Gibson</t>
  </si>
  <si>
    <t>2559 Holdom Avenue</t>
  </si>
  <si>
    <t>JimmieDGibson@teleworm.us</t>
  </si>
  <si>
    <t>Themall</t>
  </si>
  <si>
    <t>guDoh7Jei</t>
  </si>
  <si>
    <t>604-586-6248</t>
  </si>
  <si>
    <t>Milliken</t>
  </si>
  <si>
    <t>039 154 109</t>
  </si>
  <si>
    <t>1Z 272 Y79 97 6671 474 5</t>
  </si>
  <si>
    <t>School teacher</t>
  </si>
  <si>
    <t>Dun Rite Lawn Maintenance</t>
  </si>
  <si>
    <t>2000 Honda J-VX</t>
  </si>
  <si>
    <t>PokerSnap.ca</t>
  </si>
  <si>
    <t>ec21011f-efda-466f-9805-45ab526e8d60</t>
  </si>
  <si>
    <t>Sadie</t>
  </si>
  <si>
    <t>Joplin</t>
  </si>
  <si>
    <t>2362 Glover Road</t>
  </si>
  <si>
    <t>V3W 4N6</t>
  </si>
  <si>
    <t>SadieWJoplin@cuvox.de</t>
  </si>
  <si>
    <t>Sadied</t>
  </si>
  <si>
    <t>vieDey2yai</t>
  </si>
  <si>
    <t>604-562-0501</t>
  </si>
  <si>
    <t>Wellington</t>
  </si>
  <si>
    <t>366 724 417</t>
  </si>
  <si>
    <t>1Z 516 V84 19 3976 718 5</t>
  </si>
  <si>
    <t>Information designer</t>
  </si>
  <si>
    <t>Schaak Electronics</t>
  </si>
  <si>
    <t>1994 Nissan Gloria</t>
  </si>
  <si>
    <t>MexicanRoofing.ca</t>
  </si>
  <si>
    <t>5ac0d382-347a-405e-8900-6792d37749ec</t>
  </si>
  <si>
    <t>Lisa</t>
  </si>
  <si>
    <t>Porter</t>
  </si>
  <si>
    <t>3357 Glover Road</t>
  </si>
  <si>
    <t>V3S 4C4</t>
  </si>
  <si>
    <t>LisaCPorter@dayrep.com</t>
  </si>
  <si>
    <t>Rephrenothey</t>
  </si>
  <si>
    <t>javoo5Neroh</t>
  </si>
  <si>
    <t>604-574-7489</t>
  </si>
  <si>
    <t>578 088 262</t>
  </si>
  <si>
    <t>1Z 728 920 15 7333 068 1</t>
  </si>
  <si>
    <t>Forest fire inspector</t>
  </si>
  <si>
    <t>Cal Stereo</t>
  </si>
  <si>
    <t>1995 Jeep Wrangler</t>
  </si>
  <si>
    <t>DomainerFinder.ca</t>
  </si>
  <si>
    <t>6733de3e-84f3-4869-b2e9-528727d0599d</t>
  </si>
  <si>
    <t>Esther</t>
  </si>
  <si>
    <t>Harrington</t>
  </si>
  <si>
    <t>4883 Glover Road</t>
  </si>
  <si>
    <t>EstherMHarrington@armyspy.com</t>
  </si>
  <si>
    <t>Caseuffely69</t>
  </si>
  <si>
    <t>iefoNuP8seri</t>
  </si>
  <si>
    <t>604-561-9630</t>
  </si>
  <si>
    <t>407 095 025</t>
  </si>
  <si>
    <t>1Z 732 139 48 3676 536 4</t>
  </si>
  <si>
    <t>Employment consultant</t>
  </si>
  <si>
    <t>InvestmentSupply.ca</t>
  </si>
  <si>
    <t>8809ef79-f76b-4625-a521-df2618c1950e</t>
  </si>
  <si>
    <t>728 Glover Road</t>
  </si>
  <si>
    <t>BrianDGonzalez@jourrapide.com</t>
  </si>
  <si>
    <t>Lowlence1969</t>
  </si>
  <si>
    <t>Loh9oiShu9oo</t>
  </si>
  <si>
    <t>604-575-2675</t>
  </si>
  <si>
    <t>Vaughn</t>
  </si>
  <si>
    <t>150 017 945</t>
  </si>
  <si>
    <t>1Z 994 499 34 7784 995 3</t>
  </si>
  <si>
    <t>Security Sporting Goods</t>
  </si>
  <si>
    <t>2003 Bugatti EB 118</t>
  </si>
  <si>
    <t>PromBar.ca</t>
  </si>
  <si>
    <t>626feadd-5810-487f-883b-2a6b09221d1f</t>
  </si>
  <si>
    <t>Colbert</t>
  </si>
  <si>
    <t>2461 Holdom Avenue</t>
  </si>
  <si>
    <t>MichaelHColbert@einrot.com</t>
  </si>
  <si>
    <t>Ideme1941</t>
  </si>
  <si>
    <t>oreep8eR</t>
  </si>
  <si>
    <t>604-584-3710</t>
  </si>
  <si>
    <t>Long</t>
  </si>
  <si>
    <t>655 943 082</t>
  </si>
  <si>
    <t>1Z 570 853 56 3459 908 0</t>
  </si>
  <si>
    <t>Yellow</t>
  </si>
  <si>
    <t>Information architect librarian</t>
  </si>
  <si>
    <t>Gottschalks</t>
  </si>
  <si>
    <t>1999 BMW 325</t>
  </si>
  <si>
    <t>TextRoad.ca</t>
  </si>
  <si>
    <t>eaee2457-8442-465a-803e-43636ba593f7</t>
  </si>
  <si>
    <t>Marion</t>
  </si>
  <si>
    <t>Lisi</t>
  </si>
  <si>
    <t>2415 Glover Road</t>
  </si>
  <si>
    <t>MarionLLisi@einrot.com</t>
  </si>
  <si>
    <t>Pordinusband</t>
  </si>
  <si>
    <t>Benoh9Yia3</t>
  </si>
  <si>
    <t>604-575-3785</t>
  </si>
  <si>
    <t>Therrien</t>
  </si>
  <si>
    <t>406 396 721</t>
  </si>
  <si>
    <t>1Z 360 332 39 3667 463 9</t>
  </si>
  <si>
    <t>Civil engineer</t>
  </si>
  <si>
    <t>2001 Saturn L</t>
  </si>
  <si>
    <t>SubmitApps.ca</t>
  </si>
  <si>
    <t>59fa5c36-0988-4155-a3d6-ad3aff543999</t>
  </si>
  <si>
    <t>Anthony</t>
  </si>
  <si>
    <t>2481 Holdom Avenue</t>
  </si>
  <si>
    <t>AnthonyHWilliams@armyspy.com</t>
  </si>
  <si>
    <t>Extrahmethe</t>
  </si>
  <si>
    <t>au0aGoohooT</t>
  </si>
  <si>
    <t>604-587-0747</t>
  </si>
  <si>
    <t>Ridgeway</t>
  </si>
  <si>
    <t>029 588 142</t>
  </si>
  <si>
    <t>1Z 732 773 54 8197 820 8</t>
  </si>
  <si>
    <t>Transmission rebuilder</t>
  </si>
  <si>
    <t>Kragen Auto Parts</t>
  </si>
  <si>
    <t>2012 Nissan NV</t>
  </si>
  <si>
    <t>LoanReversal.ca</t>
  </si>
  <si>
    <t>363e25de-3469-43c8-a812-edf9e768225e</t>
  </si>
  <si>
    <t>Dee</t>
  </si>
  <si>
    <t>Peirce</t>
  </si>
  <si>
    <t>4579 Holdom Avenue</t>
  </si>
  <si>
    <t>DeeSPeirce@teleworm.us</t>
  </si>
  <si>
    <t>Doomplast</t>
  </si>
  <si>
    <t>ohShaX3ko</t>
  </si>
  <si>
    <t>604-953-5654</t>
  </si>
  <si>
    <t>Phillippi</t>
  </si>
  <si>
    <t>466 982 998</t>
  </si>
  <si>
    <t>1Z 8E7 E40 46 1326 675 5</t>
  </si>
  <si>
    <t>Paleomagnetist</t>
  </si>
  <si>
    <t>Vitagee</t>
  </si>
  <si>
    <t>2006 Subaru Forester</t>
  </si>
  <si>
    <t>3575342d-0f58-4f4d-8e01-30e1aac184ac</t>
  </si>
  <si>
    <t>Ronald</t>
  </si>
  <si>
    <t>Knight</t>
  </si>
  <si>
    <t>3593 King George Hwy</t>
  </si>
  <si>
    <t>RonaldLKnight@armyspy.com</t>
  </si>
  <si>
    <t>Uncloyesseen89</t>
  </si>
  <si>
    <t>ahChi5Ohveeg</t>
  </si>
  <si>
    <t>604-595-3587</t>
  </si>
  <si>
    <t>Sevin</t>
  </si>
  <si>
    <t>299 283 853</t>
  </si>
  <si>
    <t>1Z 723 V79 44 5893 505 9</t>
  </si>
  <si>
    <t>Unlicensed assistive personnel</t>
  </si>
  <si>
    <t>Carter's Foods</t>
  </si>
  <si>
    <t>2008 BMW 320</t>
  </si>
  <si>
    <t>ApartmentRoad.ca</t>
  </si>
  <si>
    <t>301ba47b-a970-4c9b-824e-1858693e3751</t>
  </si>
  <si>
    <t>Monica</t>
  </si>
  <si>
    <t>Fulford</t>
  </si>
  <si>
    <t>3490 Glover Road</t>
  </si>
  <si>
    <t>MonicaCFulford@fleckens.hu</t>
  </si>
  <si>
    <t>Barthat</t>
  </si>
  <si>
    <t>uwu0wooJ9Ei</t>
  </si>
  <si>
    <t>604-574-1768</t>
  </si>
  <si>
    <t>Ferrell</t>
  </si>
  <si>
    <t>405 761 636</t>
  </si>
  <si>
    <t>1Z 5A3 005 27 4628 006 7</t>
  </si>
  <si>
    <t>Cardiographer</t>
  </si>
  <si>
    <t>Ruehl No. 925</t>
  </si>
  <si>
    <t>2009 GMC Sierra</t>
  </si>
  <si>
    <t>SpecialDisc.ca</t>
  </si>
  <si>
    <t>447a0694-453f-4b04-9534-670fc77bf894</t>
  </si>
  <si>
    <t>Jerry</t>
  </si>
  <si>
    <t>Locke</t>
  </si>
  <si>
    <t>2645 King George Hwy</t>
  </si>
  <si>
    <t>JerryRLocke@dayrep.com</t>
  </si>
  <si>
    <t>Betunink</t>
  </si>
  <si>
    <t>Ookae6quahj</t>
  </si>
  <si>
    <t>604-592-9902</t>
  </si>
  <si>
    <t>Paul</t>
  </si>
  <si>
    <t>595 783 234</t>
  </si>
  <si>
    <t>1Z 075 001 69 2068 251 1</t>
  </si>
  <si>
    <t>Gynecology nurse</t>
  </si>
  <si>
    <t>K&amp;G Distributors</t>
  </si>
  <si>
    <t>1999 GMC EV1</t>
  </si>
  <si>
    <t>WebsTunes.ca</t>
  </si>
  <si>
    <t>d07dff09-c34d-413e-a3b9-0a5bde91b494</t>
  </si>
  <si>
    <t>Angela</t>
  </si>
  <si>
    <t>Lloyd</t>
  </si>
  <si>
    <t>3522 Glover Road</t>
  </si>
  <si>
    <t>AngelaJLloyd@jourrapide.com</t>
  </si>
  <si>
    <t>Recognot</t>
  </si>
  <si>
    <t>gei1ooJ4ai</t>
  </si>
  <si>
    <t>604-562-4757</t>
  </si>
  <si>
    <t>663 958 866</t>
  </si>
  <si>
    <t>1Z 982 847 82 2870 317 6</t>
  </si>
  <si>
    <t>Avionics technician</t>
  </si>
  <si>
    <t>Wise Appraisals</t>
  </si>
  <si>
    <t>1998 Volvo V90</t>
  </si>
  <si>
    <t>Learningwireless.ca</t>
  </si>
  <si>
    <t>b6250515-d583-4fd6-a074-5b313d5bded5</t>
  </si>
  <si>
    <t>Gleason</t>
  </si>
  <si>
    <t>4945 King George Hwy</t>
  </si>
  <si>
    <t>AlbertKGleason@fleckens.hu</t>
  </si>
  <si>
    <t>Staend</t>
  </si>
  <si>
    <t>Us6thei8u</t>
  </si>
  <si>
    <t>604-594-6926</t>
  </si>
  <si>
    <t>Session</t>
  </si>
  <si>
    <t>767 880 446</t>
  </si>
  <si>
    <t>1Z 421 Y77 23 6748 134 4</t>
  </si>
  <si>
    <t>Electronic equipment repairer</t>
  </si>
  <si>
    <t>Leo's Stereo</t>
  </si>
  <si>
    <t>2007 Volkswagen Touran</t>
  </si>
  <si>
    <t>KosherNames.ca</t>
  </si>
  <si>
    <t>1eebb1f4-1d91-4894-b0e6-494e997dbc05</t>
  </si>
  <si>
    <t>Bumpers</t>
  </si>
  <si>
    <t>1588 King George Hwy</t>
  </si>
  <si>
    <t>KellyMBumpers@cuvox.de</t>
  </si>
  <si>
    <t>Spallown</t>
  </si>
  <si>
    <t>oyungir7aeGh</t>
  </si>
  <si>
    <t>604-501-5145</t>
  </si>
  <si>
    <t>Weston</t>
  </si>
  <si>
    <t>034 501 361</t>
  </si>
  <si>
    <t>1Z 1W8 877 45 5813 194 1</t>
  </si>
  <si>
    <t>Greenskeeper</t>
  </si>
  <si>
    <t>Gamma Grays</t>
  </si>
  <si>
    <t>2010 Kia Magentis</t>
  </si>
  <si>
    <t>VirtualFotos.ca</t>
  </si>
  <si>
    <t>ebfb5053-bf51-4574-9558-22788d071106</t>
  </si>
  <si>
    <t>1172 Holdom Avenue</t>
  </si>
  <si>
    <t>DorothyMRodriguez@jourrapide.com</t>
  </si>
  <si>
    <t>Lamenscaught</t>
  </si>
  <si>
    <t>eiY9ahth3cie</t>
  </si>
  <si>
    <t>604-589-1274</t>
  </si>
  <si>
    <t>Collazo</t>
  </si>
  <si>
    <t>062 836 598</t>
  </si>
  <si>
    <t>1Z 983 Y20 90 0136 700 6</t>
  </si>
  <si>
    <t>Undertaker</t>
  </si>
  <si>
    <t>Better Business Ideas and Services</t>
  </si>
  <si>
    <t>2003 Mitsubishi Pajero</t>
  </si>
  <si>
    <t>TennisPackage.ca</t>
  </si>
  <si>
    <t>2ea9f0d0-0e30-4bdc-a77b-d152912b5c8d</t>
  </si>
  <si>
    <t>3490 King George Hwy</t>
  </si>
  <si>
    <t>AliceJMartin@teleworm.us</t>
  </si>
  <si>
    <t>Losom1984</t>
  </si>
  <si>
    <t>IeN7io6ta8oo</t>
  </si>
  <si>
    <t>604-598-2141</t>
  </si>
  <si>
    <t>Marcus</t>
  </si>
  <si>
    <t>032 996 472</t>
  </si>
  <si>
    <t>1Z 06A F84 76 0945 334 6</t>
  </si>
  <si>
    <t>Colorist</t>
  </si>
  <si>
    <t>Integra Investment Plan</t>
  </si>
  <si>
    <t>1995 Buick Roadmaster</t>
  </si>
  <si>
    <t>SeekJokes.ca</t>
  </si>
  <si>
    <t>bc999a6b-c903-4bfd-bf8a-e50b5cc8cdb9</t>
  </si>
  <si>
    <t>Casey</t>
  </si>
  <si>
    <t>2177 Holdom Avenue</t>
  </si>
  <si>
    <t>CaseyRWright@teleworm.us</t>
  </si>
  <si>
    <t>Nournst</t>
  </si>
  <si>
    <t>aiyooR0u</t>
  </si>
  <si>
    <t>604-584-6790</t>
  </si>
  <si>
    <t>Ruff</t>
  </si>
  <si>
    <t>274 007 210</t>
  </si>
  <si>
    <t>1Z W65 749 11 2907 643 3</t>
  </si>
  <si>
    <t>Office and administrative support worker manager</t>
  </si>
  <si>
    <t>Roberd's</t>
  </si>
  <si>
    <t>2011 Renault Sandero</t>
  </si>
  <si>
    <t>StrongMorals.ca</t>
  </si>
  <si>
    <t>277a50ed-4294-4b39-b63e-61ea39d0de5e</t>
  </si>
  <si>
    <t>Daniel</t>
  </si>
  <si>
    <t>Shook</t>
  </si>
  <si>
    <t>3484 Holdom Avenue</t>
  </si>
  <si>
    <t>DanielDShook@dayrep.com</t>
  </si>
  <si>
    <t>Thissinat</t>
  </si>
  <si>
    <t>Oe5Oofeezoo</t>
  </si>
  <si>
    <t>604-586-6572</t>
  </si>
  <si>
    <t>Rather</t>
  </si>
  <si>
    <t>104 221 817</t>
  </si>
  <si>
    <t>1Z 004 0W0 77 2160 144 2</t>
  </si>
  <si>
    <t>Line erector</t>
  </si>
  <si>
    <t>Licorice Pizza</t>
  </si>
  <si>
    <t>2006 Maserati GranSport</t>
  </si>
  <si>
    <t>IndustryFace.ca</t>
  </si>
  <si>
    <t>31d0e230-fb75-49ce-b4ef-d6e7031871c6</t>
  </si>
  <si>
    <t>Cleary</t>
  </si>
  <si>
    <t>3626 Holdom Avenue</t>
  </si>
  <si>
    <t>AmandaTCleary@cuvox.de</t>
  </si>
  <si>
    <t>Turet1983</t>
  </si>
  <si>
    <t>vau2Ah2ai</t>
  </si>
  <si>
    <t>604-580-3033</t>
  </si>
  <si>
    <t>Morton</t>
  </si>
  <si>
    <t>238 408 660</t>
  </si>
  <si>
    <t>1Z 700 13V 51 0686 018 5</t>
  </si>
  <si>
    <t>Bonus clerk</t>
  </si>
  <si>
    <t>Exact Realty</t>
  </si>
  <si>
    <t>1993 De Tomaso Guara</t>
  </si>
  <si>
    <t>BetThings.ca</t>
  </si>
  <si>
    <t>f6f2330a-75c1-44df-a1ea-35c7128ab693</t>
  </si>
  <si>
    <t>Bankston</t>
  </si>
  <si>
    <t>1489 Holdom Avenue</t>
  </si>
  <si>
    <t>JoshuaKBankston@superrito.com</t>
  </si>
  <si>
    <t>Courand</t>
  </si>
  <si>
    <t>fah9eeTh</t>
  </si>
  <si>
    <t>604-585-3353</t>
  </si>
  <si>
    <t>Torres</t>
  </si>
  <si>
    <t>336 574 082</t>
  </si>
  <si>
    <t>1Z E00 940 59 2263 593 5</t>
  </si>
  <si>
    <t>Immunology technologist</t>
  </si>
  <si>
    <t>Garden Master</t>
  </si>
  <si>
    <t>2009 Ferrari 599</t>
  </si>
  <si>
    <t>DomainEnvironment.ca</t>
  </si>
  <si>
    <t>e1200779-47f4-4480-a3e3-e37e5b89de24</t>
  </si>
  <si>
    <t>Joyce</t>
  </si>
  <si>
    <t>Pinzon</t>
  </si>
  <si>
    <t>2977 King George Hwy</t>
  </si>
  <si>
    <t>JoyceCPinzon@armyspy.com</t>
  </si>
  <si>
    <t>Greste</t>
  </si>
  <si>
    <t>aiChash5ee</t>
  </si>
  <si>
    <t>604-598-5787</t>
  </si>
  <si>
    <t>Guzman</t>
  </si>
  <si>
    <t>336 669 668</t>
  </si>
  <si>
    <t>1Z F93 215 46 2217 143 1</t>
  </si>
  <si>
    <t>Embossing machine operator</t>
  </si>
  <si>
    <t>Movie Gallery</t>
  </si>
  <si>
    <t>2006 Pagani Zonda</t>
  </si>
  <si>
    <t>Vadog.ca</t>
  </si>
  <si>
    <t>77aea0bc-218d-42ed-885f-d6fea4b8555b</t>
  </si>
  <si>
    <t>Elson</t>
  </si>
  <si>
    <t>4246 King George Hwy</t>
  </si>
  <si>
    <t>MichaelWElson@fleckens.hu</t>
  </si>
  <si>
    <t>Owereed38</t>
  </si>
  <si>
    <t>Phei1ooph</t>
  </si>
  <si>
    <t>604-591-7119</t>
  </si>
  <si>
    <t>Whiteside</t>
  </si>
  <si>
    <t>068 711 209</t>
  </si>
  <si>
    <t>1Z 895 311 63 1514 963 2</t>
  </si>
  <si>
    <t>The Warner Brothers Store</t>
  </si>
  <si>
    <t>2004 Toyota Mark II</t>
  </si>
  <si>
    <t>ScrapBuilder.ca</t>
  </si>
  <si>
    <t>d011cd01-9249-4eaf-9b3a-6d1aa756026d</t>
  </si>
  <si>
    <t>Blunt</t>
  </si>
  <si>
    <t>3436 King George Hwy</t>
  </si>
  <si>
    <t>PatriciaLBlunt@gustr.com</t>
  </si>
  <si>
    <t>Adaughicell</t>
  </si>
  <si>
    <t>quochieTh4</t>
  </si>
  <si>
    <t>604-594-7727</t>
  </si>
  <si>
    <t>Stone</t>
  </si>
  <si>
    <t>132 889 809</t>
  </si>
  <si>
    <t>1Z 3Y5 159 64 5562 238 8</t>
  </si>
  <si>
    <t>Foot doctor</t>
  </si>
  <si>
    <t>Erlebacher's</t>
  </si>
  <si>
    <t>2007 Renault Scenic II</t>
  </si>
  <si>
    <t>BreakfastCard.ca</t>
  </si>
  <si>
    <t>4283c56c-472d-4668-8a1f-7ec0ba38bd4b</t>
  </si>
  <si>
    <t>James</t>
  </si>
  <si>
    <t>Lopez</t>
  </si>
  <si>
    <t>4146 King George Hwy</t>
  </si>
  <si>
    <t>JamesKLopez@fleckens.hu</t>
  </si>
  <si>
    <t>Relithe</t>
  </si>
  <si>
    <t>ahBae0ogee1sh</t>
  </si>
  <si>
    <t>604-595-0870</t>
  </si>
  <si>
    <t>337 674 584</t>
  </si>
  <si>
    <t>1Z 522 844 26 5529 785 6</t>
  </si>
  <si>
    <t>Pump operator</t>
  </si>
  <si>
    <t>Magna Architectural Design</t>
  </si>
  <si>
    <t>2000 Mercedes-Benz CLK</t>
  </si>
  <si>
    <t>AutomobileMedia.ca</t>
  </si>
  <si>
    <t>0e830d88-c5da-46be-a2b2-294ebfa2a30e</t>
  </si>
  <si>
    <t>Griffin</t>
  </si>
  <si>
    <t>2928 King George Hwy</t>
  </si>
  <si>
    <t>PaulSGriffin@gustr.com</t>
  </si>
  <si>
    <t>Formem53</t>
  </si>
  <si>
    <t>eotuo3ju6Ae</t>
  </si>
  <si>
    <t>604-597-6415</t>
  </si>
  <si>
    <t>Nicholson</t>
  </si>
  <si>
    <t>611 934 563</t>
  </si>
  <si>
    <t>1Z 101 920 16 0682 501 0</t>
  </si>
  <si>
    <t>Electronic publishing specialist</t>
  </si>
  <si>
    <t>Klopfenstein's</t>
  </si>
  <si>
    <t>2007 Morgan Aero 8</t>
  </si>
  <si>
    <t>CodingReport.ca</t>
  </si>
  <si>
    <t>44786a7b-73ea-407b-bb63-9c8f15c7447a</t>
  </si>
  <si>
    <t>Ivan</t>
  </si>
  <si>
    <t>Bueno</t>
  </si>
  <si>
    <t>4404 King George Hwy</t>
  </si>
  <si>
    <t>IvanFBueno@cuvox.de</t>
  </si>
  <si>
    <t>Sesom1940</t>
  </si>
  <si>
    <t>ooV3oahah</t>
  </si>
  <si>
    <t>604-595-7759</t>
  </si>
  <si>
    <t>Hayes</t>
  </si>
  <si>
    <t>404 280 000</t>
  </si>
  <si>
    <t>1Z 645 84W 91 4865 304 1</t>
  </si>
  <si>
    <t>Wound ostomy and continence nurse</t>
  </si>
  <si>
    <t>Alladin Realty</t>
  </si>
  <si>
    <t>2005 Fiat Albea</t>
  </si>
  <si>
    <t>AntennaHeads.ca</t>
  </si>
  <si>
    <t>584e397f-4189-435c-b2c4-2d133d48c236</t>
  </si>
  <si>
    <t>Paula</t>
  </si>
  <si>
    <t>4652 Holdom Avenue</t>
  </si>
  <si>
    <t>PaulaJDiaz@fleckens.hu</t>
  </si>
  <si>
    <t>Whorraing</t>
  </si>
  <si>
    <t>Re6yooy5</t>
  </si>
  <si>
    <t>604-582-8172</t>
  </si>
  <si>
    <t>447 695 016</t>
  </si>
  <si>
    <t>1Z W57 0E5 69 2651 138 3</t>
  </si>
  <si>
    <t>Stock-control clerk</t>
  </si>
  <si>
    <t>Bresler's Ice Cream</t>
  </si>
  <si>
    <t>2000 Toyota Crown</t>
  </si>
  <si>
    <t>IsMyMomHot.ca</t>
  </si>
  <si>
    <t>a58c3893-07bf-4144-ab38-4603654735cd</t>
  </si>
  <si>
    <t>Morris</t>
  </si>
  <si>
    <t>Robertson</t>
  </si>
  <si>
    <t>3818 Holdom Avenue</t>
  </si>
  <si>
    <t>MorrisJRobertson@gustr.com</t>
  </si>
  <si>
    <t>Smilley</t>
  </si>
  <si>
    <t>HooKoh9hu</t>
  </si>
  <si>
    <t>604-587-9492</t>
  </si>
  <si>
    <t>Jack</t>
  </si>
  <si>
    <t>431 932 722</t>
  </si>
  <si>
    <t>1Z 012 V92 22 9484 853 0</t>
  </si>
  <si>
    <t>Decommissioning and decontamination (D&amp;D) worker</t>
  </si>
  <si>
    <t>2000 Land Rover Range Rover</t>
  </si>
  <si>
    <t>FormerIdols.ca</t>
  </si>
  <si>
    <t>cb9937e3-83d9-417e-93d9-23cf2a5cfeba</t>
  </si>
  <si>
    <t>Jarmon</t>
  </si>
  <si>
    <t>1317 Glover Road</t>
  </si>
  <si>
    <t>RichardMJarmon@dayrep.com</t>
  </si>
  <si>
    <t>Lifying83</t>
  </si>
  <si>
    <t>Ieweif5xoh</t>
  </si>
  <si>
    <t>604-561-4444</t>
  </si>
  <si>
    <t>049 189 525</t>
  </si>
  <si>
    <t>1Z F10 353 62 5200 003 8</t>
  </si>
  <si>
    <t>Greeter</t>
  </si>
  <si>
    <t>Food Barn</t>
  </si>
  <si>
    <t>2005 Dodge Stratus</t>
  </si>
  <si>
    <t>DesertScreen.ca</t>
  </si>
  <si>
    <t>82fe56d1-bd27-4c7b-819a-85ec320d4852</t>
  </si>
  <si>
    <t>Couch</t>
  </si>
  <si>
    <t>3122 Glover Road</t>
  </si>
  <si>
    <t>JamesJCouch@dayrep.com</t>
  </si>
  <si>
    <t>Threangster1957</t>
  </si>
  <si>
    <t>Queehak1T</t>
  </si>
  <si>
    <t>604-575-1056</t>
  </si>
  <si>
    <t>577 342 660</t>
  </si>
  <si>
    <t>1Z 994 862 16 8448 069 3</t>
  </si>
  <si>
    <t>Plant operator</t>
  </si>
  <si>
    <t>Monk Home Improvements</t>
  </si>
  <si>
    <t>2001 Toyota HMV</t>
  </si>
  <si>
    <t>HybridShops.ca</t>
  </si>
  <si>
    <t>e2e5583d-b312-4869-8fc7-f363c57e00c7</t>
  </si>
  <si>
    <t>Jenkins</t>
  </si>
  <si>
    <t>4996 Glover Road</t>
  </si>
  <si>
    <t>MaryGJenkins@teleworm.us</t>
  </si>
  <si>
    <t>Kiltance</t>
  </si>
  <si>
    <t>ohweiv8uPee</t>
  </si>
  <si>
    <t>604-561-5092</t>
  </si>
  <si>
    <t>Hughes</t>
  </si>
  <si>
    <t>197 686 256</t>
  </si>
  <si>
    <t>1Z 392 E69 87 9816 729 1</t>
  </si>
  <si>
    <t>Blue Boar Cafeterias</t>
  </si>
  <si>
    <t>1995 Opel Corsa</t>
  </si>
  <si>
    <t>DreamChapel.ca</t>
  </si>
  <si>
    <t>3434fb3f-fbeb-457b-be2a-3801715f781c</t>
  </si>
  <si>
    <t>Wilcox</t>
  </si>
  <si>
    <t>326 King George Hwy</t>
  </si>
  <si>
    <t>DavidRWilcox@armyspy.com</t>
  </si>
  <si>
    <t>Gase1955</t>
  </si>
  <si>
    <t>voGhe5daigoh</t>
  </si>
  <si>
    <t>604-598-3677</t>
  </si>
  <si>
    <t>Higgins</t>
  </si>
  <si>
    <t>684 963 689</t>
  </si>
  <si>
    <t>1Z 358 Y16 80 4632 954 7</t>
  </si>
  <si>
    <t>Information and record clerk</t>
  </si>
  <si>
    <t>Smitty's Marketplace</t>
  </si>
  <si>
    <t>1999 Fiat Multipla</t>
  </si>
  <si>
    <t>CostumeStyles.ca</t>
  </si>
  <si>
    <t>d5609cb6-18c0-4418-94ba-cc77ffb2a20e</t>
  </si>
  <si>
    <t>Brenda</t>
  </si>
  <si>
    <t>Strachan</t>
  </si>
  <si>
    <t>2230 Holdom Avenue</t>
  </si>
  <si>
    <t>BrendaJStrachan@gustr.com</t>
  </si>
  <si>
    <t>Butimand</t>
  </si>
  <si>
    <t>aeneeg4kuCh</t>
  </si>
  <si>
    <t>604-582-1854</t>
  </si>
  <si>
    <t>Loeffler</t>
  </si>
  <si>
    <t>348 060 138</t>
  </si>
  <si>
    <t>1Z 402 687 02 2737 597 2</t>
  </si>
  <si>
    <t>Industrial therapist</t>
  </si>
  <si>
    <t>2000 Renault Grand Espace</t>
  </si>
  <si>
    <t>CommonReports.ca</t>
  </si>
  <si>
    <t>3110f0f0-6d7f-4a2c-9afb-c7aeb6eac621</t>
  </si>
  <si>
    <t>Craig</t>
  </si>
  <si>
    <t>Voris</t>
  </si>
  <si>
    <t>2451 King George Hwy</t>
  </si>
  <si>
    <t>CraigTVoris@teleworm.us</t>
  </si>
  <si>
    <t>Alred1948</t>
  </si>
  <si>
    <t>air8ohBah</t>
  </si>
  <si>
    <t>604-543-3826</t>
  </si>
  <si>
    <t>Hastings</t>
  </si>
  <si>
    <t>025 946 120</t>
  </si>
  <si>
    <t>1Z V84 553 00 5870 503 3</t>
  </si>
  <si>
    <t>Mathematical statistician</t>
  </si>
  <si>
    <t>Kelsey's Neighbourhood Bar &amp; Grill</t>
  </si>
  <si>
    <t>1999 Steyr G-series</t>
  </si>
  <si>
    <t>PaintingEmporium.ca</t>
  </si>
  <si>
    <t>AB-</t>
  </si>
  <si>
    <t>04b796b6-efaf-4232-a6c6-3fefea33980b</t>
  </si>
  <si>
    <t>Worrell</t>
  </si>
  <si>
    <t>3644 Holdom Avenue</t>
  </si>
  <si>
    <t>FrancesTWorrell@cuvox.de</t>
  </si>
  <si>
    <t>Tatromer</t>
  </si>
  <si>
    <t>Ohhoo2quee</t>
  </si>
  <si>
    <t>604-586-0796</t>
  </si>
  <si>
    <t>Buck</t>
  </si>
  <si>
    <t>615 076 171</t>
  </si>
  <si>
    <t>1Z 057 V03 58 6102 148 4</t>
  </si>
  <si>
    <t>Clock repairer</t>
  </si>
  <si>
    <t>Paul's Food Mart</t>
  </si>
  <si>
    <t>2002 Xedos 9</t>
  </si>
  <si>
    <t>AndroidPDAs.ca</t>
  </si>
  <si>
    <t>8dd08a3f-1e7a-47fe-b8da-d818660c33ec</t>
  </si>
  <si>
    <t>Melissa</t>
  </si>
  <si>
    <t>Wells</t>
  </si>
  <si>
    <t>20 Glover Road</t>
  </si>
  <si>
    <t>V3T 2B3</t>
  </si>
  <si>
    <t>MelissaRWells@cuvox.de</t>
  </si>
  <si>
    <t>Repar1991</t>
  </si>
  <si>
    <t>aec1paeRieTh</t>
  </si>
  <si>
    <t>604-495-2216</t>
  </si>
  <si>
    <t>Spellman</t>
  </si>
  <si>
    <t>667 336 887</t>
  </si>
  <si>
    <t>1Z 541 A75 38 1036 662 5</t>
  </si>
  <si>
    <t>Employee assistance plan manager</t>
  </si>
  <si>
    <t>Pleasures and Pasttimes</t>
  </si>
  <si>
    <t>2004 Vauxhall Omega</t>
  </si>
  <si>
    <t>Syncville.ca</t>
  </si>
  <si>
    <t>aff582d4-93ba-4baf-a559-7689d2a7cffa</t>
  </si>
  <si>
    <t>Ownby</t>
  </si>
  <si>
    <t>2394 King George Hwy</t>
  </si>
  <si>
    <t>AliceJOwnby@teleworm.us</t>
  </si>
  <si>
    <t>Burs1938</t>
  </si>
  <si>
    <t>ihoo6Aetai</t>
  </si>
  <si>
    <t>604-501-4060</t>
  </si>
  <si>
    <t>294 532 486</t>
  </si>
  <si>
    <t>1Z 011 029 10 3726 674 4</t>
  </si>
  <si>
    <t>Control and valve installer</t>
  </si>
  <si>
    <t>Parklane Hosiery</t>
  </si>
  <si>
    <t>2001 Subaru Outback</t>
  </si>
  <si>
    <t>MBAProfiles.ca</t>
  </si>
  <si>
    <t>e131ce66-1f62-441e-ae87-3c49e922acc2</t>
  </si>
  <si>
    <t>2090 Holdom Avenue</t>
  </si>
  <si>
    <t>JosephDSmith@rhyta.com</t>
  </si>
  <si>
    <t>Stroully</t>
  </si>
  <si>
    <t>ci6ahngai6O</t>
  </si>
  <si>
    <t>604-580-9580</t>
  </si>
  <si>
    <t>Hall</t>
  </si>
  <si>
    <t>545 311 854</t>
  </si>
  <si>
    <t>1Z V94 286 12 3657 415 8</t>
  </si>
  <si>
    <t>Linemen</t>
  </si>
  <si>
    <t>Millenia Life</t>
  </si>
  <si>
    <t>2006 BMW M3</t>
  </si>
  <si>
    <t>RestaurantSuggest.ca</t>
  </si>
  <si>
    <t>635aecac-45fa-4a4d-a6f1-72128f6cdbf3</t>
  </si>
  <si>
    <t>Eric</t>
  </si>
  <si>
    <t>2543 Holdom Avenue</t>
  </si>
  <si>
    <t>EricJKelly@einrot.com</t>
  </si>
  <si>
    <t>Thount</t>
  </si>
  <si>
    <t>Eichu9ou6</t>
  </si>
  <si>
    <t>604-584-8551</t>
  </si>
  <si>
    <t>McHugh</t>
  </si>
  <si>
    <t>695 363 531</t>
  </si>
  <si>
    <t>1Z W68 352 94 4047 592 9</t>
  </si>
  <si>
    <t>Macroeconomist</t>
  </si>
  <si>
    <t>Formula Grey</t>
  </si>
  <si>
    <t>2009 Mercedes-Benz SLR McLaren</t>
  </si>
  <si>
    <t>WeeklyNumbers.ca</t>
  </si>
  <si>
    <t>4b573a03-42d7-4cba-b361-45f5eb45f3d6</t>
  </si>
  <si>
    <t>Iverson</t>
  </si>
  <si>
    <t>3498 Holdom Avenue</t>
  </si>
  <si>
    <t>EvelynEIverson@teleworm.us</t>
  </si>
  <si>
    <t>Weentemeare</t>
  </si>
  <si>
    <t>xohRaaj7oo</t>
  </si>
  <si>
    <t>604-583-9983</t>
  </si>
  <si>
    <t>Blackwell</t>
  </si>
  <si>
    <t>081 140 717</t>
  </si>
  <si>
    <t>1Z 532 270 60 0810 372 3</t>
  </si>
  <si>
    <t>Employment manager</t>
  </si>
  <si>
    <t>Las Vegas Yard Management</t>
  </si>
  <si>
    <t>2005 Acura RSX</t>
  </si>
  <si>
    <t>CapitalRooms.ca</t>
  </si>
  <si>
    <t>d15bcb37-54aa-49df-8ffd-94804fba1e9a</t>
  </si>
  <si>
    <t>Gina</t>
  </si>
  <si>
    <t>Mendez</t>
  </si>
  <si>
    <t>1091 King George Hwy</t>
  </si>
  <si>
    <t>GinaJMendez@armyspy.com</t>
  </si>
  <si>
    <t>Whatch</t>
  </si>
  <si>
    <t>eYietai6F</t>
  </si>
  <si>
    <t>604-572-1731</t>
  </si>
  <si>
    <t>Donoghue</t>
  </si>
  <si>
    <t>747 399 459</t>
  </si>
  <si>
    <t>1Z 601 877 06 8279 326 8</t>
  </si>
  <si>
    <t>Rolling machine setter</t>
  </si>
  <si>
    <t>Poore Simon's</t>
  </si>
  <si>
    <t>2006 Kia Picanto</t>
  </si>
  <si>
    <t>PhantomKiss.ca</t>
  </si>
  <si>
    <t>c9fdfe40-6f74-4185-be59-6773375d36e6</t>
  </si>
  <si>
    <t>Elisa</t>
  </si>
  <si>
    <t>Love</t>
  </si>
  <si>
    <t>4974 Holdom Avenue</t>
  </si>
  <si>
    <t>ElisaMLove@fleckens.hu</t>
  </si>
  <si>
    <t>Eloopme</t>
  </si>
  <si>
    <t>Aiv9ooph2ae</t>
  </si>
  <si>
    <t>604-583-4780</t>
  </si>
  <si>
    <t>Beck</t>
  </si>
  <si>
    <t>384 563 359</t>
  </si>
  <si>
    <t>1Z 896 323 77 5209 141 6</t>
  </si>
  <si>
    <t>Fry cook</t>
  </si>
  <si>
    <t>2008 BMW 635</t>
  </si>
  <si>
    <t>OfferSeeking.ca</t>
  </si>
  <si>
    <t>8aa9e4e0-04df-40d1-bf1e-941643a511c7</t>
  </si>
  <si>
    <t>Avis</t>
  </si>
  <si>
    <t>Leblanc</t>
  </si>
  <si>
    <t>812 Glover Road</t>
  </si>
  <si>
    <t>AvisDLeblanc@einrot.com</t>
  </si>
  <si>
    <t>Nouldes91</t>
  </si>
  <si>
    <t>Eeporu4tuo</t>
  </si>
  <si>
    <t>604-576-6967</t>
  </si>
  <si>
    <t>Leyva</t>
  </si>
  <si>
    <t>450 821 848</t>
  </si>
  <si>
    <t>1Z 000 908 70 9711 183 5</t>
  </si>
  <si>
    <t>Payroll and benefits specialist</t>
  </si>
  <si>
    <t>Jack Lang</t>
  </si>
  <si>
    <t>2000 Honda Insight</t>
  </si>
  <si>
    <t>RaffleLaws.ca</t>
  </si>
  <si>
    <t>9f686ded-ac69-4fd0-9d83-29b6f4a6186f</t>
  </si>
  <si>
    <t>3817 King George Hwy</t>
  </si>
  <si>
    <t>JackABrantley@cuvox.de</t>
  </si>
  <si>
    <t>Anwave</t>
  </si>
  <si>
    <t>Taiy6Va1hoo</t>
  </si>
  <si>
    <t>604-572-4264</t>
  </si>
  <si>
    <t>Skalski</t>
  </si>
  <si>
    <t>493 249 619</t>
  </si>
  <si>
    <t>1Z 641 0Y1 81 5154 250 3</t>
  </si>
  <si>
    <t>Bench jeweler</t>
  </si>
  <si>
    <t>2009 Dodge Nitro</t>
  </si>
  <si>
    <t>NoRevenue.ca</t>
  </si>
  <si>
    <t>309efe7f-6f80-452b-9ea8-ee5cdf51be95</t>
  </si>
  <si>
    <t>Randolph</t>
  </si>
  <si>
    <t>Franco</t>
  </si>
  <si>
    <t>2873 Glover Road</t>
  </si>
  <si>
    <t>RandolphEFranco@rhyta.com</t>
  </si>
  <si>
    <t>Furday</t>
  </si>
  <si>
    <t>dailieP4</t>
  </si>
  <si>
    <t>604-576-9280</t>
  </si>
  <si>
    <t>Boston</t>
  </si>
  <si>
    <t>141 877 324</t>
  </si>
  <si>
    <t>1Z 992 E40 23 6464 663 8</t>
  </si>
  <si>
    <t>Underwriter</t>
  </si>
  <si>
    <t>Gart Sports</t>
  </si>
  <si>
    <t>2008 Lincoln Navigator</t>
  </si>
  <si>
    <t>3c51e9cc-8f3c-418b-8fa7-6015aa99ae2c</t>
  </si>
  <si>
    <t>Jacques</t>
  </si>
  <si>
    <t>Bowman</t>
  </si>
  <si>
    <t>3731 Holdom Avenue</t>
  </si>
  <si>
    <t>JacquesHBowman@cuvox.de</t>
  </si>
  <si>
    <t>Neracked</t>
  </si>
  <si>
    <t>Iwei2lae4o</t>
  </si>
  <si>
    <t>604-587-2258</t>
  </si>
  <si>
    <t>221 967 342</t>
  </si>
  <si>
    <t>1Z 117 2W5 17 7978 014 2</t>
  </si>
  <si>
    <t>Industrial equipment technician</t>
  </si>
  <si>
    <t>Eli Moore Inc</t>
  </si>
  <si>
    <t>2010 Chevrolet Malibu</t>
  </si>
  <si>
    <t>TalkingAid.ca</t>
  </si>
  <si>
    <t>06f13d43-42ee-4578-b345-9752fa054879</t>
  </si>
  <si>
    <t>Solano</t>
  </si>
  <si>
    <t>2039 Holdom Avenue</t>
  </si>
  <si>
    <t>RichardCSolano@dayrep.com</t>
  </si>
  <si>
    <t>Anxiortampt</t>
  </si>
  <si>
    <t>yeeFai1nai</t>
  </si>
  <si>
    <t>604-580-4422</t>
  </si>
  <si>
    <t>Sutton</t>
  </si>
  <si>
    <t>381 283 530</t>
  </si>
  <si>
    <t>1Z 693 129 77 0223 257 0</t>
  </si>
  <si>
    <t>Instructional coach</t>
  </si>
  <si>
    <t>2012 Lincoln MKS</t>
  </si>
  <si>
    <t>Developology.ca</t>
  </si>
  <si>
    <t>a1b74cae-f07b-4e76-9244-779ec77e3ece</t>
  </si>
  <si>
    <t>Manners</t>
  </si>
  <si>
    <t>3700 Holdom Avenue</t>
  </si>
  <si>
    <t>JamesPManners@cuvox.de</t>
  </si>
  <si>
    <t>Asher1963</t>
  </si>
  <si>
    <t>kieK2aixu</t>
  </si>
  <si>
    <t>604-951-2625</t>
  </si>
  <si>
    <t>303 351 845</t>
  </si>
  <si>
    <t>1Z 804 030 29 1469 467 3</t>
  </si>
  <si>
    <t>Commercial pilot</t>
  </si>
  <si>
    <t>Destiny Planners</t>
  </si>
  <si>
    <t>2008 SsangYong Stavic</t>
  </si>
  <si>
    <t>EmploymentCars.ca</t>
  </si>
  <si>
    <t>3448d0fc-f056-4a92-aa53-7a4e45f4335f</t>
  </si>
  <si>
    <t>Bertram</t>
  </si>
  <si>
    <t>884 King George Hwy</t>
  </si>
  <si>
    <t>BrianFBertram@cuvox.de</t>
  </si>
  <si>
    <t>Begraced</t>
  </si>
  <si>
    <t>eetieSheel7</t>
  </si>
  <si>
    <t>604-591-3916</t>
  </si>
  <si>
    <t>Matte</t>
  </si>
  <si>
    <t>366 926 038</t>
  </si>
  <si>
    <t>1Z 922 684 24 1797 318 3</t>
  </si>
  <si>
    <t>Agricultural inspector</t>
  </si>
  <si>
    <t>Levitz Furniture</t>
  </si>
  <si>
    <t>BlockSigns.ca</t>
  </si>
  <si>
    <t>6aa37c59-e726-47d6-8b3a-1a8ad74f6acc</t>
  </si>
  <si>
    <t>Kenner</t>
  </si>
  <si>
    <t>4399 Glover Road</t>
  </si>
  <si>
    <t>DarrylJKenner@cuvox.de</t>
  </si>
  <si>
    <t>Hervizinve69</t>
  </si>
  <si>
    <t>wai5aXohx6</t>
  </si>
  <si>
    <t>604-574-3980</t>
  </si>
  <si>
    <t>037 920 469</t>
  </si>
  <si>
    <t>1Z 725 506 31 0324 251 8</t>
  </si>
  <si>
    <t>ESL teacher</t>
  </si>
  <si>
    <t>Adaptas</t>
  </si>
  <si>
    <t>2007 Volkswagen Pickup</t>
  </si>
  <si>
    <t>ModelVoice.ca</t>
  </si>
  <si>
    <t>b354d2e5-b67b-4995-bcff-c0f44d15ed03</t>
  </si>
  <si>
    <t>Durbin</t>
  </si>
  <si>
    <t>4447 Holdom Avenue</t>
  </si>
  <si>
    <t>JosephADurbin@dayrep.com</t>
  </si>
  <si>
    <t>Artudistrums</t>
  </si>
  <si>
    <t>eer7Quael8th</t>
  </si>
  <si>
    <t>604-581-7173</t>
  </si>
  <si>
    <t>Watters</t>
  </si>
  <si>
    <t>556 641 793</t>
  </si>
  <si>
    <t>1Z 208 234 65 3778 201 2</t>
  </si>
  <si>
    <t>Regional geographer</t>
  </si>
  <si>
    <t>Quickbiz</t>
  </si>
  <si>
    <t>1992 Renault Espace</t>
  </si>
  <si>
    <t>WildPrize.ca</t>
  </si>
  <si>
    <t>39b8f540-d758-40e9-a704-14f7e55de211</t>
  </si>
  <si>
    <t>Aimee</t>
  </si>
  <si>
    <t>Newton</t>
  </si>
  <si>
    <t>854 King George Hwy</t>
  </si>
  <si>
    <t>AimeeJNewton@gustr.com</t>
  </si>
  <si>
    <t>Thenthen</t>
  </si>
  <si>
    <t>lie4ooFus</t>
  </si>
  <si>
    <t>604-501-3463</t>
  </si>
  <si>
    <t>Mai</t>
  </si>
  <si>
    <t>404 492 027</t>
  </si>
  <si>
    <t>1Z 021 3A5 41 8241 818 6</t>
  </si>
  <si>
    <t>Secretarial assistant</t>
  </si>
  <si>
    <t>Children's Palace</t>
  </si>
  <si>
    <t>2004 Jaguar XK</t>
  </si>
  <si>
    <t>vMinnesota.ca</t>
  </si>
  <si>
    <t>fc903bbd-0efe-4b46-9932-6af83f1590be</t>
  </si>
  <si>
    <t>Sample</t>
  </si>
  <si>
    <t>3033 King George Hwy</t>
  </si>
  <si>
    <t>AmandaRSample@einrot.com</t>
  </si>
  <si>
    <t>Tralmot</t>
  </si>
  <si>
    <t>Ohhoh1oa</t>
  </si>
  <si>
    <t>604-572-4950</t>
  </si>
  <si>
    <t>Doyle</t>
  </si>
  <si>
    <t>766 214 555</t>
  </si>
  <si>
    <t>1Z Y85 81E 41 3999 490 4</t>
  </si>
  <si>
    <t>Rodbuster</t>
  </si>
  <si>
    <t>Pro Star</t>
  </si>
  <si>
    <t>HealPlant.ca</t>
  </si>
  <si>
    <t>d0618d95-3ce8-477c-8717-cd836d863f81</t>
  </si>
  <si>
    <t>DBA</t>
  </si>
  <si>
    <t>Miller &amp; Rhoads</t>
  </si>
  <si>
    <t>Vari-Tec</t>
  </si>
  <si>
    <t>Tam's Stationers</t>
  </si>
  <si>
    <t>Modern Realty</t>
  </si>
  <si>
    <t>Jacob Reed and Sons</t>
  </si>
  <si>
    <t>Roadhouse Grill</t>
  </si>
  <si>
    <t>Forum Cafeterias</t>
  </si>
  <si>
    <t>4515 Russell Avenue</t>
  </si>
  <si>
    <t>White Rock</t>
  </si>
  <si>
    <t>V4B 3E1</t>
  </si>
  <si>
    <t>2482 Russell Avenue</t>
  </si>
  <si>
    <t>4739 Russell Avenue</t>
  </si>
  <si>
    <t>3462 Russell Avenue</t>
  </si>
  <si>
    <t>2912 Russell Avenue</t>
  </si>
  <si>
    <t>1805 Russell Avenue</t>
  </si>
  <si>
    <t>4419 Russell Avenue</t>
  </si>
  <si>
    <t>2313 Russell Avenue</t>
  </si>
  <si>
    <t>DBAAdd</t>
  </si>
  <si>
    <t>DBACity</t>
  </si>
  <si>
    <t>DBAProv</t>
  </si>
  <si>
    <t>DBAPC</t>
  </si>
  <si>
    <t>DBACtry</t>
  </si>
  <si>
    <t>DBACountry</t>
  </si>
  <si>
    <t>Foods</t>
  </si>
  <si>
    <t>Restaurant</t>
  </si>
  <si>
    <t>Seafood</t>
  </si>
  <si>
    <t>Eatry</t>
  </si>
  <si>
    <t>Cafe</t>
  </si>
  <si>
    <t>Kitchen</t>
  </si>
  <si>
    <t>Pub</t>
  </si>
  <si>
    <t>Diner</t>
  </si>
  <si>
    <t>Stand</t>
  </si>
  <si>
    <t>Tavern</t>
  </si>
  <si>
    <t>Palace</t>
  </si>
  <si>
    <t>Bar</t>
  </si>
  <si>
    <t>Shack</t>
  </si>
  <si>
    <t>Dining Room</t>
  </si>
  <si>
    <t>Joint</t>
  </si>
  <si>
    <t>Public House</t>
  </si>
  <si>
    <t>Greasy Spoon</t>
  </si>
  <si>
    <t>Cafeteria</t>
  </si>
  <si>
    <t>Sandwich Shop</t>
  </si>
  <si>
    <t>Grill</t>
  </si>
  <si>
    <t>Bar and Grill</t>
  </si>
  <si>
    <t>Eating House</t>
  </si>
  <si>
    <t>Chophouse</t>
  </si>
  <si>
    <t>Dive</t>
  </si>
  <si>
    <t>Inn</t>
  </si>
  <si>
    <t>Drive-In</t>
  </si>
  <si>
    <t>Canteen</t>
  </si>
  <si>
    <t>Brasserie</t>
  </si>
  <si>
    <t>Saloon</t>
  </si>
  <si>
    <t>Trattoria</t>
  </si>
  <si>
    <t>Carryout</t>
  </si>
  <si>
    <t>Coffee</t>
  </si>
  <si>
    <t>Coffee House</t>
  </si>
  <si>
    <t>Dining Hall</t>
  </si>
  <si>
    <t>Ratskeller</t>
  </si>
  <si>
    <t>Luncheon</t>
  </si>
  <si>
    <t>Charcuterie</t>
  </si>
  <si>
    <t>Booze and Food</t>
  </si>
  <si>
    <t>Name</t>
  </si>
  <si>
    <t>All Employees</t>
  </si>
  <si>
    <t>Reg</t>
  </si>
  <si>
    <t>Finance</t>
  </si>
  <si>
    <t>Liquor</t>
  </si>
  <si>
    <t>Health</t>
  </si>
  <si>
    <t>Worksafe</t>
  </si>
  <si>
    <t>True</t>
  </si>
  <si>
    <t>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</si>
</sst>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Font="1"/>
    <xf numFmtId="0" fontId="2" fillId="0" borderId="0" xfId="0" applyFont="1"/>
    <xf numFmtId="0" fontId="3" fillId="0" borderId="0" xfId="2"/>
    <xf numFmtId="0" fontId="4" fillId="0" borderId="0" xfId="0" applyFont="1"/>
    <xf numFmtId="0" fontId="5" fillId="0" borderId="0" xfId="0" applyFont="1"/>
    <xf numFmtId="1" fontId="0" fillId="0" borderId="0" xfId="0" applyNumberFormat="1"/>
    <xf numFmtId="164" fontId="0" fillId="0" borderId="0" xfId="0" applyNumberFormat="1"/>
    <xf numFmtId="164" fontId="2" fillId="0" borderId="0" xfId="0" applyNumberFormat="1" applyFont="1"/>
    <xf numFmtId="1" fontId="2" fillId="0" borderId="0" xfId="0" applyNumberFormat="1" applyFont="1"/>
    <xf numFmtId="0" fontId="0" fillId="0" borderId="0" xfId="0" quotePrefix="1"/>
    <xf numFmtId="0" fontId="0" fillId="0" borderId="0" xfId="0" quotePrefix="1" applyAlignment="1">
      <alignment wrapText="1"/>
    </xf>
  </cellXfs>
  <cellStyles count="3">
    <cellStyle name="Hyperlink" xfId="2" builtinId="8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foodsafe.bc.gov.ca/RestaurantLicense" TargetMode="External"/><Relationship Id="rId2" Type="http://schemas.openxmlformats.org/officeDocument/2006/relationships/hyperlink" Target="https://bizlic.bc.gov.ca/BusinessLicense" TargetMode="External"/><Relationship Id="rId1" Type="http://schemas.openxmlformats.org/officeDocument/2006/relationships/hyperlink" Target="https://www2.gov.bc.ca/gov/content/employment-business/business/managing-a-business/permits-licences/businesses-incorporated-companies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llbc.bc.gov.ca/LiquorLicense" TargetMode="External"/><Relationship Id="rId4" Type="http://schemas.openxmlformats.org/officeDocument/2006/relationships/hyperlink" Target="https://foodsafebc.bc.gov.ca/FoodSafetyLicens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llbc.gov.bc.ca/" TargetMode="External"/><Relationship Id="rId2" Type="http://schemas.openxmlformats.org/officeDocument/2006/relationships/hyperlink" Target="https://bizlic.gov.bc.ca/" TargetMode="External"/><Relationship Id="rId1" Type="http://schemas.openxmlformats.org/officeDocument/2006/relationships/hyperlink" Target="https://bcregistries.gov.bc.ca/" TargetMode="External"/><Relationship Id="rId5" Type="http://schemas.openxmlformats.org/officeDocument/2006/relationships/printerSettings" Target="../printerSettings/printerSettings6.bin"/><Relationship Id="rId4" Type="http://schemas.openxmlformats.org/officeDocument/2006/relationships/hyperlink" Target="https://foodsafebc.gov.bc.ca/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2D7B3-4027-453A-BD42-DB39F316001B}">
  <dimension ref="A1:AR59"/>
  <sheetViews>
    <sheetView topLeftCell="O1" workbookViewId="0">
      <pane ySplit="1" topLeftCell="A2" activePane="bottomLeft" state="frozen"/>
      <selection activeCell="AE1" sqref="AE1"/>
      <selection pane="bottomLeft" activeCell="P7" sqref="P7"/>
    </sheetView>
  </sheetViews>
  <sheetFormatPr defaultRowHeight="14.4" x14ac:dyDescent="0.3"/>
  <cols>
    <col min="1" max="1" width="7.5546875" bestFit="1" customWidth="1"/>
    <col min="2" max="2" width="6.88671875" bestFit="1" customWidth="1"/>
    <col min="3" max="3" width="4.6640625" bestFit="1" customWidth="1"/>
    <col min="4" max="4" width="10.44140625" bestFit="1" customWidth="1"/>
    <col min="5" max="5" width="11.109375" bestFit="1" customWidth="1"/>
    <col min="6" max="6" width="9.6640625" bestFit="1" customWidth="1"/>
    <col min="7" max="7" width="19.33203125" bestFit="1" customWidth="1"/>
    <col min="8" max="8" width="6.109375" bestFit="1" customWidth="1"/>
    <col min="9" max="9" width="5.21875" bestFit="1" customWidth="1"/>
    <col min="10" max="10" width="8.6640625" bestFit="1" customWidth="1"/>
    <col min="11" max="11" width="7.44140625" bestFit="1" customWidth="1"/>
    <col min="12" max="12" width="10.21875" bestFit="1" customWidth="1"/>
    <col min="13" max="13" width="32.109375" bestFit="1" customWidth="1"/>
    <col min="14" max="14" width="14.77734375" bestFit="1" customWidth="1"/>
    <col min="15" max="15" width="14" bestFit="1" customWidth="1"/>
    <col min="16" max="16" width="16.21875" bestFit="1" customWidth="1"/>
    <col min="17" max="17" width="14.109375" bestFit="1" customWidth="1"/>
    <col min="18" max="18" width="7.77734375" bestFit="1" customWidth="1"/>
    <col min="19" max="19" width="10.5546875" bestFit="1" customWidth="1"/>
    <col min="20" max="20" width="19.33203125" style="6" customWidth="1"/>
    <col min="21" max="21" width="5.33203125" bestFit="1" customWidth="1"/>
    <col min="22" max="22" width="9" bestFit="1" customWidth="1"/>
    <col min="23" max="23" width="10.88671875" bestFit="1" customWidth="1"/>
    <col min="24" max="24" width="22.6640625" bestFit="1" customWidth="1"/>
    <col min="25" max="25" width="6.88671875" bestFit="1" customWidth="1"/>
    <col min="26" max="26" width="45.44140625" bestFit="1" customWidth="1"/>
    <col min="27" max="27" width="29.6640625" bestFit="1" customWidth="1"/>
    <col min="28" max="28" width="29.33203125" bestFit="1" customWidth="1"/>
    <col min="29" max="29" width="20.33203125" bestFit="1" customWidth="1"/>
    <col min="30" max="30" width="9.6640625" bestFit="1" customWidth="1"/>
    <col min="31" max="31" width="6.88671875" bestFit="1" customWidth="1"/>
    <col min="33" max="33" width="9.77734375" bestFit="1" customWidth="1"/>
    <col min="34" max="34" width="10.88671875" bestFit="1" customWidth="1"/>
    <col min="35" max="35" width="36.33203125" bestFit="1" customWidth="1"/>
    <col min="36" max="36" width="10" bestFit="1" customWidth="1"/>
    <col min="37" max="37" width="11.6640625" bestFit="1" customWidth="1"/>
    <col min="38" max="38" width="18.109375" bestFit="1" customWidth="1"/>
    <col min="39" max="39" width="17.6640625" bestFit="1" customWidth="1"/>
    <col min="40" max="40" width="10.33203125" bestFit="1" customWidth="1"/>
    <col min="41" max="41" width="8.109375" bestFit="1" customWidth="1"/>
    <col min="42" max="42" width="7.6640625" bestFit="1" customWidth="1"/>
    <col min="43" max="43" width="7.77734375" bestFit="1" customWidth="1"/>
    <col min="44" max="44" width="10.88671875" bestFit="1" customWidth="1"/>
  </cols>
  <sheetData>
    <row r="1" spans="1:44" x14ac:dyDescent="0.3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0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s="6" t="s">
        <v>33</v>
      </c>
      <c r="U1" t="s">
        <v>34</v>
      </c>
      <c r="V1" t="s">
        <v>35</v>
      </c>
      <c r="W1" t="s">
        <v>36</v>
      </c>
      <c r="X1" t="s">
        <v>37</v>
      </c>
      <c r="Y1" t="s">
        <v>38</v>
      </c>
      <c r="Z1" t="s">
        <v>39</v>
      </c>
      <c r="AA1" t="s">
        <v>40</v>
      </c>
      <c r="AB1" t="s">
        <v>41</v>
      </c>
      <c r="AC1" t="s">
        <v>42</v>
      </c>
      <c r="AD1" t="s">
        <v>43</v>
      </c>
      <c r="AE1" t="s">
        <v>44</v>
      </c>
      <c r="AF1" t="s">
        <v>45</v>
      </c>
      <c r="AG1" t="s">
        <v>46</v>
      </c>
      <c r="AH1" t="s">
        <v>47</v>
      </c>
      <c r="AI1" t="s">
        <v>48</v>
      </c>
      <c r="AJ1" t="s">
        <v>49</v>
      </c>
      <c r="AK1" t="s">
        <v>50</v>
      </c>
      <c r="AL1" t="s">
        <v>1136</v>
      </c>
      <c r="AM1" t="s">
        <v>1154</v>
      </c>
      <c r="AN1" t="s">
        <v>1155</v>
      </c>
      <c r="AO1" t="s">
        <v>1156</v>
      </c>
      <c r="AP1" t="s">
        <v>1157</v>
      </c>
      <c r="AQ1" t="s">
        <v>1158</v>
      </c>
      <c r="AR1" t="s">
        <v>1159</v>
      </c>
    </row>
    <row r="2" spans="1:44" x14ac:dyDescent="0.3">
      <c r="A2">
        <v>115</v>
      </c>
      <c r="B2" t="s">
        <v>61</v>
      </c>
      <c r="C2" t="s">
        <v>62</v>
      </c>
      <c r="D2" t="s">
        <v>114</v>
      </c>
      <c r="E2" t="s">
        <v>53</v>
      </c>
      <c r="F2" t="s">
        <v>115</v>
      </c>
      <c r="G2" t="s">
        <v>116</v>
      </c>
      <c r="H2" t="s">
        <v>1</v>
      </c>
      <c r="I2" t="s">
        <v>55</v>
      </c>
      <c r="J2" t="s">
        <v>117</v>
      </c>
      <c r="K2" t="s">
        <v>56</v>
      </c>
      <c r="L2" t="s">
        <v>57</v>
      </c>
      <c r="M2" t="s">
        <v>118</v>
      </c>
      <c r="N2" t="s">
        <v>119</v>
      </c>
      <c r="O2" t="s">
        <v>120</v>
      </c>
      <c r="P2" t="s">
        <v>121</v>
      </c>
      <c r="Q2" t="s">
        <v>122</v>
      </c>
      <c r="R2">
        <v>14694</v>
      </c>
      <c r="S2" t="s">
        <v>65</v>
      </c>
      <c r="T2" s="6">
        <v>5148820730421280</v>
      </c>
      <c r="U2">
        <v>682</v>
      </c>
      <c r="V2">
        <v>43556</v>
      </c>
      <c r="W2" t="s">
        <v>123</v>
      </c>
      <c r="X2" t="s">
        <v>124</v>
      </c>
      <c r="Y2" t="s">
        <v>125</v>
      </c>
      <c r="Z2" t="s">
        <v>126</v>
      </c>
      <c r="AA2" t="s">
        <v>127</v>
      </c>
      <c r="AB2" t="s">
        <v>128</v>
      </c>
      <c r="AC2" t="s">
        <v>129</v>
      </c>
      <c r="AD2" t="s">
        <v>87</v>
      </c>
      <c r="AE2">
        <v>165.9</v>
      </c>
      <c r="AF2">
        <v>75.400000000000006</v>
      </c>
      <c r="AG2" t="s">
        <v>104</v>
      </c>
      <c r="AH2">
        <v>169</v>
      </c>
      <c r="AI2" t="s">
        <v>130</v>
      </c>
      <c r="AJ2">
        <v>49.207543000000001</v>
      </c>
      <c r="AK2">
        <v>-122.79309499999999</v>
      </c>
      <c r="AL2" t="s">
        <v>1137</v>
      </c>
      <c r="AM2" t="s">
        <v>1144</v>
      </c>
      <c r="AN2" t="s">
        <v>1145</v>
      </c>
      <c r="AO2" t="s">
        <v>55</v>
      </c>
      <c r="AP2" t="s">
        <v>1146</v>
      </c>
      <c r="AQ2" t="s">
        <v>56</v>
      </c>
      <c r="AR2" t="s">
        <v>57</v>
      </c>
    </row>
    <row r="3" spans="1:44" x14ac:dyDescent="0.3">
      <c r="A3">
        <v>145</v>
      </c>
      <c r="B3" t="s">
        <v>51</v>
      </c>
      <c r="C3" t="s">
        <v>52</v>
      </c>
      <c r="D3" t="s">
        <v>144</v>
      </c>
      <c r="E3" t="s">
        <v>53</v>
      </c>
      <c r="F3" t="s">
        <v>145</v>
      </c>
      <c r="G3" t="s">
        <v>146</v>
      </c>
      <c r="H3" t="s">
        <v>1</v>
      </c>
      <c r="I3" t="s">
        <v>55</v>
      </c>
      <c r="J3" t="s">
        <v>147</v>
      </c>
      <c r="K3" t="s">
        <v>56</v>
      </c>
      <c r="L3" t="s">
        <v>57</v>
      </c>
      <c r="M3" t="s">
        <v>148</v>
      </c>
      <c r="N3" t="s">
        <v>149</v>
      </c>
      <c r="O3" t="s">
        <v>150</v>
      </c>
      <c r="P3" t="s">
        <v>151</v>
      </c>
      <c r="Q3" t="s">
        <v>152</v>
      </c>
      <c r="R3">
        <v>25504</v>
      </c>
      <c r="S3" t="s">
        <v>58</v>
      </c>
      <c r="T3" s="6">
        <v>4556480944029910</v>
      </c>
      <c r="U3">
        <v>823</v>
      </c>
      <c r="V3">
        <v>43282</v>
      </c>
      <c r="W3" t="s">
        <v>153</v>
      </c>
      <c r="X3" t="s">
        <v>154</v>
      </c>
      <c r="Y3" t="s">
        <v>108</v>
      </c>
      <c r="Z3" t="s">
        <v>155</v>
      </c>
      <c r="AA3" t="s">
        <v>156</v>
      </c>
      <c r="AB3" t="s">
        <v>157</v>
      </c>
      <c r="AC3" t="s">
        <v>158</v>
      </c>
      <c r="AD3" t="s">
        <v>71</v>
      </c>
      <c r="AE3">
        <v>218.2</v>
      </c>
      <c r="AF3">
        <v>99.2</v>
      </c>
      <c r="AG3" t="s">
        <v>72</v>
      </c>
      <c r="AH3">
        <v>174</v>
      </c>
      <c r="AI3" t="s">
        <v>159</v>
      </c>
      <c r="AJ3">
        <v>49.119669999999999</v>
      </c>
      <c r="AK3">
        <v>-122.916235</v>
      </c>
      <c r="AL3" t="s">
        <v>1138</v>
      </c>
      <c r="AM3" t="s">
        <v>1147</v>
      </c>
      <c r="AN3" t="s">
        <v>1145</v>
      </c>
      <c r="AO3" t="s">
        <v>55</v>
      </c>
      <c r="AP3" t="s">
        <v>1146</v>
      </c>
      <c r="AQ3" t="s">
        <v>56</v>
      </c>
      <c r="AR3" t="s">
        <v>57</v>
      </c>
    </row>
    <row r="4" spans="1:44" x14ac:dyDescent="0.3">
      <c r="A4">
        <v>364</v>
      </c>
      <c r="B4" t="s">
        <v>61</v>
      </c>
      <c r="C4" t="s">
        <v>215</v>
      </c>
      <c r="D4" t="s">
        <v>216</v>
      </c>
      <c r="E4" t="s">
        <v>6</v>
      </c>
      <c r="F4" t="s">
        <v>217</v>
      </c>
      <c r="G4" t="s">
        <v>218</v>
      </c>
      <c r="H4" t="s">
        <v>1</v>
      </c>
      <c r="I4" t="s">
        <v>55</v>
      </c>
      <c r="J4" t="s">
        <v>147</v>
      </c>
      <c r="K4" t="s">
        <v>56</v>
      </c>
      <c r="L4" t="s">
        <v>57</v>
      </c>
      <c r="M4" t="s">
        <v>219</v>
      </c>
      <c r="N4" t="s">
        <v>220</v>
      </c>
      <c r="O4" t="s">
        <v>221</v>
      </c>
      <c r="P4" t="s">
        <v>222</v>
      </c>
      <c r="Q4" t="s">
        <v>54</v>
      </c>
      <c r="R4">
        <v>26871</v>
      </c>
      <c r="S4" t="s">
        <v>58</v>
      </c>
      <c r="T4" s="6">
        <v>4929477174794870</v>
      </c>
      <c r="U4">
        <v>396</v>
      </c>
      <c r="V4">
        <v>42522</v>
      </c>
      <c r="W4" t="s">
        <v>223</v>
      </c>
      <c r="X4" t="s">
        <v>224</v>
      </c>
      <c r="Y4" t="s">
        <v>108</v>
      </c>
      <c r="Z4" t="s">
        <v>225</v>
      </c>
      <c r="AA4" t="s">
        <v>226</v>
      </c>
      <c r="AB4" t="s">
        <v>227</v>
      </c>
      <c r="AC4" t="s">
        <v>228</v>
      </c>
      <c r="AD4" t="s">
        <v>67</v>
      </c>
      <c r="AE4">
        <v>211.9</v>
      </c>
      <c r="AF4">
        <v>96.3</v>
      </c>
      <c r="AG4" t="s">
        <v>229</v>
      </c>
      <c r="AH4">
        <v>163</v>
      </c>
      <c r="AI4" t="s">
        <v>230</v>
      </c>
      <c r="AJ4">
        <v>49.110475999999998</v>
      </c>
      <c r="AK4">
        <v>-122.892864</v>
      </c>
      <c r="AL4" t="s">
        <v>1139</v>
      </c>
      <c r="AM4" t="s">
        <v>1148</v>
      </c>
      <c r="AN4" t="s">
        <v>1145</v>
      </c>
      <c r="AO4" t="s">
        <v>55</v>
      </c>
      <c r="AP4" t="s">
        <v>1146</v>
      </c>
      <c r="AQ4" t="s">
        <v>56</v>
      </c>
      <c r="AR4" t="s">
        <v>57</v>
      </c>
    </row>
    <row r="5" spans="1:44" x14ac:dyDescent="0.3">
      <c r="A5">
        <v>816</v>
      </c>
      <c r="B5" t="s">
        <v>61</v>
      </c>
      <c r="C5" t="s">
        <v>62</v>
      </c>
      <c r="D5" t="s">
        <v>189</v>
      </c>
      <c r="E5" t="s">
        <v>8</v>
      </c>
      <c r="F5" t="s">
        <v>250</v>
      </c>
      <c r="G5" t="s">
        <v>251</v>
      </c>
      <c r="H5" t="s">
        <v>1</v>
      </c>
      <c r="I5" t="s">
        <v>55</v>
      </c>
      <c r="J5" t="s">
        <v>147</v>
      </c>
      <c r="K5" t="s">
        <v>56</v>
      </c>
      <c r="L5" t="s">
        <v>57</v>
      </c>
      <c r="M5" t="s">
        <v>252</v>
      </c>
      <c r="N5" t="s">
        <v>253</v>
      </c>
      <c r="O5" t="s">
        <v>254</v>
      </c>
      <c r="P5" t="s">
        <v>255</v>
      </c>
      <c r="Q5" t="s">
        <v>256</v>
      </c>
      <c r="R5">
        <v>19562</v>
      </c>
      <c r="S5" t="s">
        <v>65</v>
      </c>
      <c r="T5" s="6">
        <v>5249550133578060</v>
      </c>
      <c r="U5">
        <v>905</v>
      </c>
      <c r="V5">
        <v>42370</v>
      </c>
      <c r="W5" t="s">
        <v>257</v>
      </c>
      <c r="X5" t="s">
        <v>258</v>
      </c>
      <c r="Y5" t="s">
        <v>59</v>
      </c>
      <c r="Z5" t="s">
        <v>259</v>
      </c>
      <c r="AA5" t="s">
        <v>210</v>
      </c>
      <c r="AB5" t="s">
        <v>260</v>
      </c>
      <c r="AC5" t="s">
        <v>261</v>
      </c>
      <c r="AD5" t="s">
        <v>80</v>
      </c>
      <c r="AE5">
        <v>218.7</v>
      </c>
      <c r="AF5">
        <v>99.4</v>
      </c>
      <c r="AG5" t="s">
        <v>81</v>
      </c>
      <c r="AH5">
        <v>168</v>
      </c>
      <c r="AI5" t="s">
        <v>262</v>
      </c>
      <c r="AJ5">
        <v>49.079543000000001</v>
      </c>
      <c r="AK5">
        <v>-122.885744</v>
      </c>
      <c r="AL5" t="s">
        <v>1140</v>
      </c>
      <c r="AM5" t="s">
        <v>1149</v>
      </c>
      <c r="AN5" t="s">
        <v>1145</v>
      </c>
      <c r="AO5" t="s">
        <v>55</v>
      </c>
      <c r="AP5" t="s">
        <v>1146</v>
      </c>
      <c r="AQ5" t="s">
        <v>56</v>
      </c>
      <c r="AR5" t="s">
        <v>57</v>
      </c>
    </row>
    <row r="6" spans="1:44" x14ac:dyDescent="0.3">
      <c r="A6">
        <v>1011</v>
      </c>
      <c r="B6" t="s">
        <v>51</v>
      </c>
      <c r="C6" t="s">
        <v>52</v>
      </c>
      <c r="D6" t="s">
        <v>382</v>
      </c>
      <c r="E6" t="s">
        <v>8</v>
      </c>
      <c r="F6" t="s">
        <v>383</v>
      </c>
      <c r="G6" t="s">
        <v>384</v>
      </c>
      <c r="H6" t="s">
        <v>1</v>
      </c>
      <c r="I6" t="s">
        <v>55</v>
      </c>
      <c r="J6" t="s">
        <v>117</v>
      </c>
      <c r="K6" t="s">
        <v>56</v>
      </c>
      <c r="L6" t="s">
        <v>57</v>
      </c>
      <c r="M6" t="s">
        <v>385</v>
      </c>
      <c r="N6" t="s">
        <v>386</v>
      </c>
      <c r="O6" t="s">
        <v>387</v>
      </c>
      <c r="P6" t="s">
        <v>388</v>
      </c>
      <c r="Q6" t="s">
        <v>389</v>
      </c>
      <c r="R6">
        <v>33453</v>
      </c>
      <c r="S6" t="s">
        <v>65</v>
      </c>
      <c r="T6" s="6">
        <v>5572699068615970</v>
      </c>
      <c r="U6">
        <v>519</v>
      </c>
      <c r="V6">
        <v>42370</v>
      </c>
      <c r="W6" t="s">
        <v>390</v>
      </c>
      <c r="X6" t="s">
        <v>391</v>
      </c>
      <c r="Y6" t="s">
        <v>59</v>
      </c>
      <c r="Z6" t="s">
        <v>392</v>
      </c>
      <c r="AA6" t="s">
        <v>393</v>
      </c>
      <c r="AB6" t="s">
        <v>394</v>
      </c>
      <c r="AC6" t="s">
        <v>395</v>
      </c>
      <c r="AD6" t="s">
        <v>80</v>
      </c>
      <c r="AE6">
        <v>140.6</v>
      </c>
      <c r="AF6">
        <v>63.9</v>
      </c>
      <c r="AG6" t="s">
        <v>111</v>
      </c>
      <c r="AH6">
        <v>178</v>
      </c>
      <c r="AI6" t="s">
        <v>396</v>
      </c>
      <c r="AJ6">
        <v>49.109774000000002</v>
      </c>
      <c r="AK6">
        <v>-122.81889</v>
      </c>
      <c r="AL6" t="s">
        <v>1139</v>
      </c>
      <c r="AM6" t="s">
        <v>1150</v>
      </c>
      <c r="AN6" t="s">
        <v>1145</v>
      </c>
      <c r="AO6" t="s">
        <v>55</v>
      </c>
      <c r="AP6" t="s">
        <v>1146</v>
      </c>
      <c r="AQ6" t="s">
        <v>56</v>
      </c>
      <c r="AR6" t="s">
        <v>57</v>
      </c>
    </row>
    <row r="7" spans="1:44" x14ac:dyDescent="0.3">
      <c r="A7">
        <v>1343</v>
      </c>
      <c r="B7" t="s">
        <v>61</v>
      </c>
      <c r="C7" t="s">
        <v>73</v>
      </c>
      <c r="D7" t="s">
        <v>397</v>
      </c>
      <c r="E7" t="s">
        <v>14</v>
      </c>
      <c r="F7" t="s">
        <v>398</v>
      </c>
      <c r="G7" t="s">
        <v>399</v>
      </c>
      <c r="H7" t="s">
        <v>1</v>
      </c>
      <c r="I7" t="s">
        <v>55</v>
      </c>
      <c r="J7" t="s">
        <v>400</v>
      </c>
      <c r="K7" t="s">
        <v>56</v>
      </c>
      <c r="L7" t="s">
        <v>57</v>
      </c>
      <c r="M7" t="s">
        <v>401</v>
      </c>
      <c r="N7" t="s">
        <v>402</v>
      </c>
      <c r="O7" t="s">
        <v>403</v>
      </c>
      <c r="P7" t="s">
        <v>404</v>
      </c>
      <c r="Q7" t="s">
        <v>405</v>
      </c>
      <c r="R7">
        <v>21588</v>
      </c>
      <c r="S7" t="s">
        <v>58</v>
      </c>
      <c r="T7" s="6">
        <v>4929172573833660</v>
      </c>
      <c r="U7">
        <v>149</v>
      </c>
      <c r="V7">
        <v>42644</v>
      </c>
      <c r="W7" t="s">
        <v>406</v>
      </c>
      <c r="X7" t="s">
        <v>407</v>
      </c>
      <c r="Y7" t="s">
        <v>77</v>
      </c>
      <c r="Z7" t="s">
        <v>408</v>
      </c>
      <c r="AA7" t="s">
        <v>409</v>
      </c>
      <c r="AB7" t="s">
        <v>410</v>
      </c>
      <c r="AC7" t="s">
        <v>411</v>
      </c>
      <c r="AD7" t="s">
        <v>71</v>
      </c>
      <c r="AE7">
        <v>173.1</v>
      </c>
      <c r="AF7">
        <v>78.7</v>
      </c>
      <c r="AG7" t="s">
        <v>104</v>
      </c>
      <c r="AH7">
        <v>171</v>
      </c>
      <c r="AI7" t="s">
        <v>412</v>
      </c>
      <c r="AJ7">
        <v>49.063116999999998</v>
      </c>
      <c r="AK7">
        <v>-122.844942</v>
      </c>
      <c r="AL7" t="s">
        <v>1141</v>
      </c>
      <c r="AM7" t="s">
        <v>1151</v>
      </c>
      <c r="AN7" t="s">
        <v>1145</v>
      </c>
      <c r="AO7" t="s">
        <v>55</v>
      </c>
      <c r="AP7" t="s">
        <v>1146</v>
      </c>
      <c r="AQ7" t="s">
        <v>56</v>
      </c>
      <c r="AR7" t="s">
        <v>57</v>
      </c>
    </row>
    <row r="8" spans="1:44" x14ac:dyDescent="0.3">
      <c r="A8">
        <v>1386</v>
      </c>
      <c r="B8" t="s">
        <v>61</v>
      </c>
      <c r="C8" t="s">
        <v>62</v>
      </c>
      <c r="D8" t="s">
        <v>413</v>
      </c>
      <c r="E8" t="s">
        <v>6</v>
      </c>
      <c r="F8" t="s">
        <v>414</v>
      </c>
      <c r="G8" t="s">
        <v>415</v>
      </c>
      <c r="H8" t="s">
        <v>1</v>
      </c>
      <c r="I8" t="s">
        <v>55</v>
      </c>
      <c r="J8" t="s">
        <v>416</v>
      </c>
      <c r="K8" t="s">
        <v>56</v>
      </c>
      <c r="L8" t="s">
        <v>57</v>
      </c>
      <c r="M8" t="s">
        <v>417</v>
      </c>
      <c r="N8" t="s">
        <v>418</v>
      </c>
      <c r="O8" t="s">
        <v>419</v>
      </c>
      <c r="P8" t="s">
        <v>420</v>
      </c>
      <c r="Q8" t="s">
        <v>263</v>
      </c>
      <c r="R8">
        <v>23818</v>
      </c>
      <c r="S8" t="s">
        <v>65</v>
      </c>
      <c r="T8" s="6">
        <v>5394560989492190</v>
      </c>
      <c r="U8">
        <v>135</v>
      </c>
      <c r="V8">
        <v>43374</v>
      </c>
      <c r="W8" t="s">
        <v>421</v>
      </c>
      <c r="X8" t="s">
        <v>422</v>
      </c>
      <c r="Y8" t="s">
        <v>77</v>
      </c>
      <c r="Z8" t="s">
        <v>423</v>
      </c>
      <c r="AA8" t="s">
        <v>424</v>
      </c>
      <c r="AB8" t="s">
        <v>425</v>
      </c>
      <c r="AC8" t="s">
        <v>426</v>
      </c>
      <c r="AD8" t="s">
        <v>92</v>
      </c>
      <c r="AE8">
        <v>221.8</v>
      </c>
      <c r="AF8">
        <v>100.8</v>
      </c>
      <c r="AG8" t="s">
        <v>81</v>
      </c>
      <c r="AH8">
        <v>168</v>
      </c>
      <c r="AI8" t="s">
        <v>427</v>
      </c>
      <c r="AJ8">
        <v>49.116045999999997</v>
      </c>
      <c r="AK8">
        <v>-122.85562400000001</v>
      </c>
      <c r="AL8" t="s">
        <v>1142</v>
      </c>
      <c r="AM8" t="s">
        <v>1152</v>
      </c>
      <c r="AN8" t="s">
        <v>1145</v>
      </c>
      <c r="AO8" t="s">
        <v>55</v>
      </c>
      <c r="AP8" t="s">
        <v>1146</v>
      </c>
      <c r="AQ8" t="s">
        <v>56</v>
      </c>
      <c r="AR8" t="s">
        <v>57</v>
      </c>
    </row>
    <row r="9" spans="1:44" x14ac:dyDescent="0.3">
      <c r="A9">
        <v>1676</v>
      </c>
      <c r="B9" t="s">
        <v>61</v>
      </c>
      <c r="C9" t="s">
        <v>62</v>
      </c>
      <c r="D9" t="s">
        <v>428</v>
      </c>
      <c r="E9" t="s">
        <v>142</v>
      </c>
      <c r="F9" t="s">
        <v>429</v>
      </c>
      <c r="G9" t="s">
        <v>430</v>
      </c>
      <c r="H9" t="s">
        <v>1</v>
      </c>
      <c r="I9" t="s">
        <v>55</v>
      </c>
      <c r="J9" t="s">
        <v>400</v>
      </c>
      <c r="K9" t="s">
        <v>56</v>
      </c>
      <c r="L9" t="s">
        <v>57</v>
      </c>
      <c r="M9" t="s">
        <v>431</v>
      </c>
      <c r="N9" t="s">
        <v>432</v>
      </c>
      <c r="O9" t="s">
        <v>433</v>
      </c>
      <c r="P9" t="s">
        <v>434</v>
      </c>
      <c r="Q9" t="s">
        <v>200</v>
      </c>
      <c r="R9">
        <v>25446</v>
      </c>
      <c r="S9" t="s">
        <v>65</v>
      </c>
      <c r="T9" s="6">
        <v>5509873966145440</v>
      </c>
      <c r="U9">
        <v>751</v>
      </c>
      <c r="V9">
        <v>42675</v>
      </c>
      <c r="W9" t="s">
        <v>435</v>
      </c>
      <c r="X9" t="s">
        <v>436</v>
      </c>
      <c r="Y9" t="s">
        <v>108</v>
      </c>
      <c r="Z9" t="s">
        <v>437</v>
      </c>
      <c r="AA9" t="s">
        <v>214</v>
      </c>
      <c r="AB9" t="s">
        <v>232</v>
      </c>
      <c r="AC9" t="s">
        <v>438</v>
      </c>
      <c r="AD9" t="s">
        <v>80</v>
      </c>
      <c r="AE9">
        <v>110.4</v>
      </c>
      <c r="AF9">
        <v>50.2</v>
      </c>
      <c r="AG9" t="s">
        <v>81</v>
      </c>
      <c r="AH9">
        <v>168</v>
      </c>
      <c r="AI9" t="s">
        <v>439</v>
      </c>
      <c r="AJ9">
        <v>49.129334999999998</v>
      </c>
      <c r="AK9">
        <v>-122.842248</v>
      </c>
      <c r="AL9" t="s">
        <v>1143</v>
      </c>
      <c r="AM9" t="s">
        <v>1153</v>
      </c>
      <c r="AN9" t="s">
        <v>1145</v>
      </c>
      <c r="AO9" t="s">
        <v>55</v>
      </c>
      <c r="AP9" t="s">
        <v>1146</v>
      </c>
      <c r="AQ9" t="s">
        <v>56</v>
      </c>
      <c r="AR9" t="s">
        <v>57</v>
      </c>
    </row>
    <row r="10" spans="1:44" x14ac:dyDescent="0.3">
      <c r="A10">
        <v>1747</v>
      </c>
      <c r="B10" t="s">
        <v>51</v>
      </c>
      <c r="C10" t="s">
        <v>52</v>
      </c>
      <c r="D10" t="s">
        <v>82</v>
      </c>
      <c r="E10" t="s">
        <v>8</v>
      </c>
      <c r="F10" t="s">
        <v>184</v>
      </c>
      <c r="G10" t="s">
        <v>440</v>
      </c>
      <c r="H10" t="s">
        <v>1</v>
      </c>
      <c r="I10" t="s">
        <v>55</v>
      </c>
      <c r="J10" t="s">
        <v>416</v>
      </c>
      <c r="K10" t="s">
        <v>56</v>
      </c>
      <c r="L10" t="s">
        <v>57</v>
      </c>
      <c r="M10" t="s">
        <v>441</v>
      </c>
      <c r="N10" t="s">
        <v>442</v>
      </c>
      <c r="O10" t="s">
        <v>443</v>
      </c>
      <c r="P10" t="s">
        <v>444</v>
      </c>
      <c r="Q10" t="s">
        <v>445</v>
      </c>
      <c r="R10">
        <v>25483</v>
      </c>
      <c r="S10" t="s">
        <v>58</v>
      </c>
      <c r="T10" s="6">
        <v>4929027117571450</v>
      </c>
      <c r="U10">
        <v>358</v>
      </c>
      <c r="V10">
        <v>43800</v>
      </c>
      <c r="W10" t="s">
        <v>446</v>
      </c>
      <c r="X10" t="s">
        <v>447</v>
      </c>
      <c r="Y10" t="s">
        <v>136</v>
      </c>
      <c r="Z10" t="s">
        <v>241</v>
      </c>
      <c r="AA10" t="s">
        <v>448</v>
      </c>
      <c r="AB10" t="s">
        <v>449</v>
      </c>
      <c r="AC10" t="s">
        <v>450</v>
      </c>
      <c r="AD10" t="s">
        <v>71</v>
      </c>
      <c r="AE10">
        <v>185.7</v>
      </c>
      <c r="AF10">
        <v>84.4</v>
      </c>
      <c r="AG10" t="s">
        <v>167</v>
      </c>
      <c r="AH10">
        <v>181</v>
      </c>
      <c r="AI10" t="s">
        <v>451</v>
      </c>
      <c r="AJ10">
        <v>49.233908999999997</v>
      </c>
      <c r="AK10">
        <v>-122.752944</v>
      </c>
    </row>
    <row r="11" spans="1:44" x14ac:dyDescent="0.3">
      <c r="A11">
        <v>1773</v>
      </c>
      <c r="B11" t="s">
        <v>51</v>
      </c>
      <c r="C11" t="s">
        <v>52</v>
      </c>
      <c r="D11" t="s">
        <v>98</v>
      </c>
      <c r="E11" t="s">
        <v>10</v>
      </c>
      <c r="F11" t="s">
        <v>452</v>
      </c>
      <c r="G11" t="s">
        <v>453</v>
      </c>
      <c r="H11" t="s">
        <v>1</v>
      </c>
      <c r="I11" t="s">
        <v>55</v>
      </c>
      <c r="J11" t="s">
        <v>117</v>
      </c>
      <c r="K11" t="s">
        <v>56</v>
      </c>
      <c r="L11" t="s">
        <v>57</v>
      </c>
      <c r="M11" t="s">
        <v>454</v>
      </c>
      <c r="N11" t="s">
        <v>455</v>
      </c>
      <c r="O11" t="s">
        <v>456</v>
      </c>
      <c r="P11" t="s">
        <v>457</v>
      </c>
      <c r="Q11" t="s">
        <v>458</v>
      </c>
      <c r="R11">
        <v>15319</v>
      </c>
      <c r="S11" t="s">
        <v>65</v>
      </c>
      <c r="T11" s="6">
        <v>5303653743653610</v>
      </c>
      <c r="U11">
        <v>794</v>
      </c>
      <c r="V11">
        <v>42186</v>
      </c>
      <c r="W11" t="s">
        <v>459</v>
      </c>
      <c r="X11" t="s">
        <v>460</v>
      </c>
      <c r="Y11" t="s">
        <v>461</v>
      </c>
      <c r="Z11" t="s">
        <v>462</v>
      </c>
      <c r="AA11" t="s">
        <v>463</v>
      </c>
      <c r="AB11" t="s">
        <v>464</v>
      </c>
      <c r="AC11" t="s">
        <v>465</v>
      </c>
      <c r="AD11" t="s">
        <v>80</v>
      </c>
      <c r="AE11">
        <v>206.4</v>
      </c>
      <c r="AF11">
        <v>93.8</v>
      </c>
      <c r="AG11" t="s">
        <v>104</v>
      </c>
      <c r="AH11">
        <v>170</v>
      </c>
      <c r="AI11" t="s">
        <v>466</v>
      </c>
      <c r="AJ11">
        <v>49.117240000000002</v>
      </c>
      <c r="AK11">
        <v>-122.851557</v>
      </c>
    </row>
    <row r="12" spans="1:44" x14ac:dyDescent="0.3">
      <c r="A12">
        <v>2239</v>
      </c>
      <c r="B12" t="s">
        <v>61</v>
      </c>
      <c r="C12" t="s">
        <v>62</v>
      </c>
      <c r="D12" t="s">
        <v>467</v>
      </c>
      <c r="E12" t="s">
        <v>11</v>
      </c>
      <c r="F12" t="s">
        <v>468</v>
      </c>
      <c r="G12" t="s">
        <v>469</v>
      </c>
      <c r="H12" t="s">
        <v>1</v>
      </c>
      <c r="I12" t="s">
        <v>55</v>
      </c>
      <c r="J12" t="s">
        <v>416</v>
      </c>
      <c r="K12" t="s">
        <v>56</v>
      </c>
      <c r="L12" t="s">
        <v>57</v>
      </c>
      <c r="M12" t="s">
        <v>470</v>
      </c>
      <c r="N12" t="s">
        <v>471</v>
      </c>
      <c r="O12" t="s">
        <v>472</v>
      </c>
      <c r="P12" t="s">
        <v>473</v>
      </c>
      <c r="Q12" t="s">
        <v>474</v>
      </c>
      <c r="R12">
        <v>25950</v>
      </c>
      <c r="S12" t="s">
        <v>65</v>
      </c>
      <c r="T12" s="6">
        <v>5338110813366510</v>
      </c>
      <c r="U12">
        <v>541</v>
      </c>
      <c r="V12">
        <v>43070</v>
      </c>
      <c r="W12" t="s">
        <v>475</v>
      </c>
      <c r="X12" t="s">
        <v>476</v>
      </c>
      <c r="Y12" t="s">
        <v>59</v>
      </c>
      <c r="Z12" t="s">
        <v>477</v>
      </c>
      <c r="AA12" t="s">
        <v>214</v>
      </c>
      <c r="AB12" t="s">
        <v>478</v>
      </c>
      <c r="AC12" t="s">
        <v>479</v>
      </c>
      <c r="AD12" t="s">
        <v>80</v>
      </c>
      <c r="AE12">
        <v>126.7</v>
      </c>
      <c r="AF12">
        <v>57.6</v>
      </c>
      <c r="AG12" t="s">
        <v>97</v>
      </c>
      <c r="AH12">
        <v>172</v>
      </c>
      <c r="AI12" t="s">
        <v>480</v>
      </c>
      <c r="AJ12">
        <v>49.235574</v>
      </c>
      <c r="AK12">
        <v>-122.765874</v>
      </c>
    </row>
    <row r="13" spans="1:44" x14ac:dyDescent="0.3">
      <c r="A13">
        <v>2343</v>
      </c>
      <c r="B13" t="s">
        <v>51</v>
      </c>
      <c r="C13" t="s">
        <v>215</v>
      </c>
      <c r="D13" t="s">
        <v>481</v>
      </c>
      <c r="E13" t="s">
        <v>10</v>
      </c>
      <c r="F13" t="s">
        <v>103</v>
      </c>
      <c r="G13" t="s">
        <v>482</v>
      </c>
      <c r="H13" t="s">
        <v>1</v>
      </c>
      <c r="I13" t="s">
        <v>55</v>
      </c>
      <c r="J13" t="s">
        <v>117</v>
      </c>
      <c r="K13" t="s">
        <v>56</v>
      </c>
      <c r="L13" t="s">
        <v>57</v>
      </c>
      <c r="M13" t="s">
        <v>483</v>
      </c>
      <c r="N13" t="s">
        <v>484</v>
      </c>
      <c r="O13" t="s">
        <v>485</v>
      </c>
      <c r="P13" t="s">
        <v>486</v>
      </c>
      <c r="Q13" t="s">
        <v>487</v>
      </c>
      <c r="R13">
        <v>26174</v>
      </c>
      <c r="S13" t="s">
        <v>65</v>
      </c>
      <c r="T13" s="6">
        <v>5419170746942020</v>
      </c>
      <c r="U13">
        <v>329</v>
      </c>
      <c r="V13">
        <v>43497</v>
      </c>
      <c r="W13" t="s">
        <v>488</v>
      </c>
      <c r="X13" t="s">
        <v>489</v>
      </c>
      <c r="Y13" t="s">
        <v>59</v>
      </c>
      <c r="Z13" t="s">
        <v>490</v>
      </c>
      <c r="AA13" t="s">
        <v>491</v>
      </c>
      <c r="AB13" t="s">
        <v>492</v>
      </c>
      <c r="AC13" t="s">
        <v>493</v>
      </c>
      <c r="AD13" t="s">
        <v>87</v>
      </c>
      <c r="AE13">
        <v>206.4</v>
      </c>
      <c r="AF13">
        <v>93.8</v>
      </c>
      <c r="AG13" t="s">
        <v>72</v>
      </c>
      <c r="AH13">
        <v>175</v>
      </c>
      <c r="AI13" t="s">
        <v>494</v>
      </c>
      <c r="AJ13">
        <v>49.086745999999998</v>
      </c>
      <c r="AK13">
        <v>-122.913394</v>
      </c>
    </row>
    <row r="14" spans="1:44" x14ac:dyDescent="0.3">
      <c r="A14">
        <v>2535</v>
      </c>
      <c r="B14" t="s">
        <v>51</v>
      </c>
      <c r="C14" t="s">
        <v>52</v>
      </c>
      <c r="D14" t="s">
        <v>495</v>
      </c>
      <c r="E14" t="s">
        <v>13</v>
      </c>
      <c r="F14" t="s">
        <v>496</v>
      </c>
      <c r="G14" t="s">
        <v>497</v>
      </c>
      <c r="H14" t="s">
        <v>1</v>
      </c>
      <c r="I14" t="s">
        <v>55</v>
      </c>
      <c r="J14" t="s">
        <v>117</v>
      </c>
      <c r="K14" t="s">
        <v>56</v>
      </c>
      <c r="L14" t="s">
        <v>57</v>
      </c>
      <c r="M14" t="s">
        <v>498</v>
      </c>
      <c r="N14" t="s">
        <v>499</v>
      </c>
      <c r="O14" t="s">
        <v>500</v>
      </c>
      <c r="P14" t="s">
        <v>501</v>
      </c>
      <c r="Q14" t="s">
        <v>502</v>
      </c>
      <c r="R14">
        <v>29028</v>
      </c>
      <c r="S14" t="s">
        <v>65</v>
      </c>
      <c r="T14" s="6">
        <v>5428428709795510</v>
      </c>
      <c r="U14">
        <v>434</v>
      </c>
      <c r="V14">
        <v>42064</v>
      </c>
      <c r="W14" t="s">
        <v>503</v>
      </c>
      <c r="X14" t="s">
        <v>504</v>
      </c>
      <c r="Y14" t="s">
        <v>59</v>
      </c>
      <c r="Z14" t="s">
        <v>505</v>
      </c>
      <c r="AA14" t="s">
        <v>506</v>
      </c>
      <c r="AB14" t="s">
        <v>507</v>
      </c>
      <c r="AC14" t="s">
        <v>186</v>
      </c>
      <c r="AD14" t="s">
        <v>80</v>
      </c>
      <c r="AE14">
        <v>213.4</v>
      </c>
      <c r="AF14">
        <v>97</v>
      </c>
      <c r="AG14" t="s">
        <v>72</v>
      </c>
      <c r="AH14">
        <v>175</v>
      </c>
      <c r="AI14" t="s">
        <v>508</v>
      </c>
      <c r="AJ14">
        <v>49.203754000000004</v>
      </c>
      <c r="AK14">
        <v>-122.841251</v>
      </c>
    </row>
    <row r="15" spans="1:44" x14ac:dyDescent="0.3">
      <c r="A15">
        <v>3183</v>
      </c>
      <c r="B15" t="s">
        <v>51</v>
      </c>
      <c r="C15" t="s">
        <v>52</v>
      </c>
      <c r="D15" t="s">
        <v>509</v>
      </c>
      <c r="E15" t="s">
        <v>11</v>
      </c>
      <c r="F15" t="s">
        <v>510</v>
      </c>
      <c r="G15" t="s">
        <v>511</v>
      </c>
      <c r="H15" t="s">
        <v>1</v>
      </c>
      <c r="I15" t="s">
        <v>55</v>
      </c>
      <c r="J15" t="s">
        <v>147</v>
      </c>
      <c r="K15" t="s">
        <v>56</v>
      </c>
      <c r="L15" t="s">
        <v>57</v>
      </c>
      <c r="M15" t="s">
        <v>512</v>
      </c>
      <c r="N15" t="s">
        <v>513</v>
      </c>
      <c r="O15" t="s">
        <v>514</v>
      </c>
      <c r="P15" t="s">
        <v>515</v>
      </c>
      <c r="Q15" t="s">
        <v>516</v>
      </c>
      <c r="R15">
        <v>32582</v>
      </c>
      <c r="S15" t="s">
        <v>58</v>
      </c>
      <c r="T15" s="6">
        <v>4916236310212250</v>
      </c>
      <c r="U15">
        <v>264</v>
      </c>
      <c r="V15">
        <v>42705</v>
      </c>
      <c r="W15" t="s">
        <v>517</v>
      </c>
      <c r="X15" t="s">
        <v>518</v>
      </c>
      <c r="Y15" t="s">
        <v>59</v>
      </c>
      <c r="Z15" t="s">
        <v>519</v>
      </c>
      <c r="AA15" t="s">
        <v>520</v>
      </c>
      <c r="AB15" t="s">
        <v>521</v>
      </c>
      <c r="AC15" t="s">
        <v>522</v>
      </c>
      <c r="AD15" t="s">
        <v>80</v>
      </c>
      <c r="AE15">
        <v>209</v>
      </c>
      <c r="AF15">
        <v>95</v>
      </c>
      <c r="AG15" t="s">
        <v>111</v>
      </c>
      <c r="AH15">
        <v>178</v>
      </c>
      <c r="AI15" t="s">
        <v>523</v>
      </c>
      <c r="AJ15">
        <v>49.085678999999999</v>
      </c>
      <c r="AK15">
        <v>-122.861487</v>
      </c>
    </row>
    <row r="16" spans="1:44" x14ac:dyDescent="0.3">
      <c r="A16">
        <v>3373</v>
      </c>
      <c r="B16" t="s">
        <v>61</v>
      </c>
      <c r="C16" t="s">
        <v>62</v>
      </c>
      <c r="D16" t="s">
        <v>524</v>
      </c>
      <c r="E16" t="s">
        <v>6</v>
      </c>
      <c r="F16" t="s">
        <v>525</v>
      </c>
      <c r="G16" t="s">
        <v>526</v>
      </c>
      <c r="H16" t="s">
        <v>1</v>
      </c>
      <c r="I16" t="s">
        <v>55</v>
      </c>
      <c r="J16" t="s">
        <v>416</v>
      </c>
      <c r="K16" t="s">
        <v>56</v>
      </c>
      <c r="L16" t="s">
        <v>57</v>
      </c>
      <c r="M16" t="s">
        <v>527</v>
      </c>
      <c r="N16" t="s">
        <v>528</v>
      </c>
      <c r="O16" t="s">
        <v>529</v>
      </c>
      <c r="P16" t="s">
        <v>530</v>
      </c>
      <c r="Q16" t="s">
        <v>531</v>
      </c>
      <c r="R16">
        <v>17510</v>
      </c>
      <c r="S16" t="s">
        <v>58</v>
      </c>
      <c r="T16" s="6">
        <v>4916821644179720</v>
      </c>
      <c r="U16">
        <v>822</v>
      </c>
      <c r="V16">
        <v>42856</v>
      </c>
      <c r="W16" t="s">
        <v>532</v>
      </c>
      <c r="X16" t="s">
        <v>533</v>
      </c>
      <c r="Y16" t="s">
        <v>59</v>
      </c>
      <c r="Z16" t="s">
        <v>534</v>
      </c>
      <c r="AA16" t="s">
        <v>535</v>
      </c>
      <c r="AB16" t="s">
        <v>536</v>
      </c>
      <c r="AC16" t="s">
        <v>537</v>
      </c>
      <c r="AD16" t="s">
        <v>60</v>
      </c>
      <c r="AE16">
        <v>187.4</v>
      </c>
      <c r="AF16">
        <v>85.2</v>
      </c>
      <c r="AG16" t="s">
        <v>178</v>
      </c>
      <c r="AH16">
        <v>159</v>
      </c>
      <c r="AI16" t="s">
        <v>538</v>
      </c>
      <c r="AJ16">
        <v>49.234610000000004</v>
      </c>
      <c r="AK16">
        <v>-122.885988</v>
      </c>
    </row>
    <row r="17" spans="1:37" x14ac:dyDescent="0.3">
      <c r="A17">
        <v>3383</v>
      </c>
      <c r="B17" t="s">
        <v>51</v>
      </c>
      <c r="C17" t="s">
        <v>52</v>
      </c>
      <c r="D17" t="s">
        <v>539</v>
      </c>
      <c r="E17" t="s">
        <v>204</v>
      </c>
      <c r="F17" t="s">
        <v>540</v>
      </c>
      <c r="G17" t="s">
        <v>541</v>
      </c>
      <c r="H17" t="s">
        <v>1</v>
      </c>
      <c r="I17" t="s">
        <v>55</v>
      </c>
      <c r="J17" t="s">
        <v>147</v>
      </c>
      <c r="K17" t="s">
        <v>56</v>
      </c>
      <c r="L17" t="s">
        <v>57</v>
      </c>
      <c r="M17" t="s">
        <v>542</v>
      </c>
      <c r="N17" t="s">
        <v>543</v>
      </c>
      <c r="O17" t="s">
        <v>544</v>
      </c>
      <c r="P17" t="s">
        <v>545</v>
      </c>
      <c r="Q17" t="s">
        <v>546</v>
      </c>
      <c r="R17">
        <v>27206</v>
      </c>
      <c r="S17" t="s">
        <v>65</v>
      </c>
      <c r="T17" s="6">
        <v>5529785584952590</v>
      </c>
      <c r="U17">
        <v>749</v>
      </c>
      <c r="V17">
        <v>42826</v>
      </c>
      <c r="W17" t="s">
        <v>547</v>
      </c>
      <c r="X17" t="s">
        <v>548</v>
      </c>
      <c r="Y17" t="s">
        <v>108</v>
      </c>
      <c r="Z17" t="s">
        <v>549</v>
      </c>
      <c r="AA17" t="s">
        <v>550</v>
      </c>
      <c r="AB17" t="s">
        <v>551</v>
      </c>
      <c r="AC17" t="s">
        <v>552</v>
      </c>
      <c r="AD17" t="s">
        <v>71</v>
      </c>
      <c r="AE17">
        <v>181.1</v>
      </c>
      <c r="AF17">
        <v>82.3</v>
      </c>
      <c r="AG17" t="s">
        <v>172</v>
      </c>
      <c r="AH17">
        <v>187</v>
      </c>
      <c r="AI17" t="s">
        <v>553</v>
      </c>
      <c r="AJ17">
        <v>49.053876000000002</v>
      </c>
      <c r="AK17">
        <v>-122.74655</v>
      </c>
    </row>
    <row r="18" spans="1:37" x14ac:dyDescent="0.3">
      <c r="A18">
        <v>3436</v>
      </c>
      <c r="B18" t="s">
        <v>61</v>
      </c>
      <c r="C18" t="s">
        <v>62</v>
      </c>
      <c r="D18" t="s">
        <v>554</v>
      </c>
      <c r="E18" t="s">
        <v>53</v>
      </c>
      <c r="F18" t="s">
        <v>555</v>
      </c>
      <c r="G18" t="s">
        <v>556</v>
      </c>
      <c r="H18" t="s">
        <v>1</v>
      </c>
      <c r="I18" t="s">
        <v>55</v>
      </c>
      <c r="J18" t="s">
        <v>400</v>
      </c>
      <c r="K18" t="s">
        <v>56</v>
      </c>
      <c r="L18" t="s">
        <v>57</v>
      </c>
      <c r="M18" t="s">
        <v>557</v>
      </c>
      <c r="N18" t="s">
        <v>558</v>
      </c>
      <c r="O18" t="s">
        <v>559</v>
      </c>
      <c r="P18" t="s">
        <v>560</v>
      </c>
      <c r="Q18" t="s">
        <v>195</v>
      </c>
      <c r="R18">
        <v>16421</v>
      </c>
      <c r="S18" t="s">
        <v>65</v>
      </c>
      <c r="T18" s="6">
        <v>5594642820941130</v>
      </c>
      <c r="U18">
        <v>770</v>
      </c>
      <c r="V18">
        <v>43070</v>
      </c>
      <c r="W18" t="s">
        <v>561</v>
      </c>
      <c r="X18" t="s">
        <v>562</v>
      </c>
      <c r="Y18" t="s">
        <v>108</v>
      </c>
      <c r="Z18" t="s">
        <v>563</v>
      </c>
      <c r="AA18" t="s">
        <v>564</v>
      </c>
      <c r="AB18" t="s">
        <v>565</v>
      </c>
      <c r="AC18" t="s">
        <v>566</v>
      </c>
      <c r="AD18" t="s">
        <v>71</v>
      </c>
      <c r="AE18">
        <v>178.6</v>
      </c>
      <c r="AF18">
        <v>81.2</v>
      </c>
      <c r="AG18" t="s">
        <v>104</v>
      </c>
      <c r="AH18">
        <v>169</v>
      </c>
      <c r="AI18" t="s">
        <v>567</v>
      </c>
      <c r="AJ18">
        <v>49.107619</v>
      </c>
      <c r="AK18">
        <v>-122.868331</v>
      </c>
    </row>
    <row r="19" spans="1:37" x14ac:dyDescent="0.3">
      <c r="A19">
        <v>3612</v>
      </c>
      <c r="B19" t="s">
        <v>51</v>
      </c>
      <c r="C19" t="s">
        <v>52</v>
      </c>
      <c r="D19" t="s">
        <v>89</v>
      </c>
      <c r="E19" t="s">
        <v>94</v>
      </c>
      <c r="F19" t="s">
        <v>568</v>
      </c>
      <c r="G19" t="s">
        <v>569</v>
      </c>
      <c r="H19" t="s">
        <v>1</v>
      </c>
      <c r="I19" t="s">
        <v>55</v>
      </c>
      <c r="J19" t="s">
        <v>147</v>
      </c>
      <c r="K19" t="s">
        <v>56</v>
      </c>
      <c r="L19" t="s">
        <v>57</v>
      </c>
      <c r="M19" t="s">
        <v>570</v>
      </c>
      <c r="N19" t="s">
        <v>571</v>
      </c>
      <c r="O19" t="s">
        <v>572</v>
      </c>
      <c r="P19" t="s">
        <v>573</v>
      </c>
      <c r="Q19" t="s">
        <v>574</v>
      </c>
      <c r="R19">
        <v>22568</v>
      </c>
      <c r="S19" t="s">
        <v>58</v>
      </c>
      <c r="T19" s="6">
        <v>4539874546479840</v>
      </c>
      <c r="U19">
        <v>110</v>
      </c>
      <c r="V19">
        <v>42795</v>
      </c>
      <c r="W19" t="s">
        <v>575</v>
      </c>
      <c r="X19" t="s">
        <v>576</v>
      </c>
      <c r="Y19" t="s">
        <v>136</v>
      </c>
      <c r="Z19" t="s">
        <v>577</v>
      </c>
      <c r="AA19" t="s">
        <v>578</v>
      </c>
      <c r="AB19" t="s">
        <v>579</v>
      </c>
      <c r="AC19" t="s">
        <v>580</v>
      </c>
      <c r="AD19" t="s">
        <v>60</v>
      </c>
      <c r="AE19">
        <v>149.6</v>
      </c>
      <c r="AF19">
        <v>68</v>
      </c>
      <c r="AG19" t="s">
        <v>172</v>
      </c>
      <c r="AH19">
        <v>188</v>
      </c>
      <c r="AI19" t="s">
        <v>581</v>
      </c>
      <c r="AJ19">
        <v>49.184956999999997</v>
      </c>
      <c r="AK19">
        <v>-122.905879</v>
      </c>
    </row>
    <row r="20" spans="1:37" x14ac:dyDescent="0.3">
      <c r="A20">
        <v>3624</v>
      </c>
      <c r="B20" t="s">
        <v>61</v>
      </c>
      <c r="C20" t="s">
        <v>73</v>
      </c>
      <c r="D20" t="s">
        <v>163</v>
      </c>
      <c r="E20" t="s">
        <v>142</v>
      </c>
      <c r="F20" t="s">
        <v>582</v>
      </c>
      <c r="G20" t="s">
        <v>583</v>
      </c>
      <c r="H20" t="s">
        <v>1</v>
      </c>
      <c r="I20" t="s">
        <v>55</v>
      </c>
      <c r="J20" t="s">
        <v>147</v>
      </c>
      <c r="K20" t="s">
        <v>56</v>
      </c>
      <c r="L20" t="s">
        <v>57</v>
      </c>
      <c r="M20" t="s">
        <v>584</v>
      </c>
      <c r="N20" t="s">
        <v>585</v>
      </c>
      <c r="O20" t="s">
        <v>586</v>
      </c>
      <c r="P20" t="s">
        <v>587</v>
      </c>
      <c r="Q20" t="s">
        <v>588</v>
      </c>
      <c r="R20">
        <v>26629</v>
      </c>
      <c r="S20" t="s">
        <v>65</v>
      </c>
      <c r="T20" s="6">
        <v>5377849732868070</v>
      </c>
      <c r="U20">
        <v>223</v>
      </c>
      <c r="V20">
        <v>42979</v>
      </c>
      <c r="W20" t="s">
        <v>589</v>
      </c>
      <c r="X20" t="s">
        <v>590</v>
      </c>
      <c r="Y20" t="s">
        <v>59</v>
      </c>
      <c r="Z20" t="s">
        <v>591</v>
      </c>
      <c r="AA20" t="s">
        <v>592</v>
      </c>
      <c r="AB20" t="s">
        <v>593</v>
      </c>
      <c r="AC20" t="s">
        <v>594</v>
      </c>
      <c r="AD20" t="s">
        <v>80</v>
      </c>
      <c r="AE20">
        <v>127.2</v>
      </c>
      <c r="AF20">
        <v>57.8</v>
      </c>
      <c r="AG20" t="s">
        <v>104</v>
      </c>
      <c r="AH20">
        <v>170</v>
      </c>
      <c r="AI20" t="s">
        <v>595</v>
      </c>
      <c r="AJ20">
        <v>49.158450000000002</v>
      </c>
      <c r="AK20">
        <v>-122.908839</v>
      </c>
    </row>
    <row r="21" spans="1:37" x14ac:dyDescent="0.3">
      <c r="A21">
        <v>3687</v>
      </c>
      <c r="B21" t="s">
        <v>61</v>
      </c>
      <c r="C21" t="s">
        <v>62</v>
      </c>
      <c r="D21" t="s">
        <v>182</v>
      </c>
      <c r="E21" t="s">
        <v>142</v>
      </c>
      <c r="F21" t="s">
        <v>181</v>
      </c>
      <c r="G21" t="s">
        <v>596</v>
      </c>
      <c r="H21" t="s">
        <v>1</v>
      </c>
      <c r="I21" t="s">
        <v>55</v>
      </c>
      <c r="J21" t="s">
        <v>117</v>
      </c>
      <c r="K21" t="s">
        <v>56</v>
      </c>
      <c r="L21" t="s">
        <v>57</v>
      </c>
      <c r="M21" t="s">
        <v>597</v>
      </c>
      <c r="N21" t="s">
        <v>598</v>
      </c>
      <c r="O21" t="s">
        <v>599</v>
      </c>
      <c r="P21" t="s">
        <v>600</v>
      </c>
      <c r="Q21" t="s">
        <v>601</v>
      </c>
      <c r="R21">
        <v>20310</v>
      </c>
      <c r="S21" t="s">
        <v>58</v>
      </c>
      <c r="T21" s="6">
        <v>4916095230572460</v>
      </c>
      <c r="U21">
        <v>475</v>
      </c>
      <c r="V21">
        <v>43132</v>
      </c>
      <c r="W21" t="s">
        <v>602</v>
      </c>
      <c r="X21" t="s">
        <v>603</v>
      </c>
      <c r="Y21" t="s">
        <v>96</v>
      </c>
      <c r="Z21" t="s">
        <v>604</v>
      </c>
      <c r="AA21" t="s">
        <v>605</v>
      </c>
      <c r="AB21" t="s">
        <v>606</v>
      </c>
      <c r="AC21" t="s">
        <v>607</v>
      </c>
      <c r="AD21" t="s">
        <v>67</v>
      </c>
      <c r="AE21">
        <v>215.6</v>
      </c>
      <c r="AF21">
        <v>98</v>
      </c>
      <c r="AG21" t="s">
        <v>236</v>
      </c>
      <c r="AH21">
        <v>152</v>
      </c>
      <c r="AI21" t="s">
        <v>608</v>
      </c>
      <c r="AJ21">
        <v>49.204945000000002</v>
      </c>
      <c r="AK21">
        <v>-122.84285300000001</v>
      </c>
    </row>
    <row r="22" spans="1:37" x14ac:dyDescent="0.3">
      <c r="A22">
        <v>3887</v>
      </c>
      <c r="B22" t="s">
        <v>61</v>
      </c>
      <c r="C22" t="s">
        <v>73</v>
      </c>
      <c r="D22" t="s">
        <v>211</v>
      </c>
      <c r="E22" t="s">
        <v>53</v>
      </c>
      <c r="F22" t="s">
        <v>212</v>
      </c>
      <c r="G22" t="s">
        <v>609</v>
      </c>
      <c r="H22" t="s">
        <v>1</v>
      </c>
      <c r="I22" t="s">
        <v>55</v>
      </c>
      <c r="J22" t="s">
        <v>147</v>
      </c>
      <c r="K22" t="s">
        <v>56</v>
      </c>
      <c r="L22" t="s">
        <v>57</v>
      </c>
      <c r="M22" t="s">
        <v>610</v>
      </c>
      <c r="N22" t="s">
        <v>611</v>
      </c>
      <c r="O22" t="s">
        <v>612</v>
      </c>
      <c r="P22" t="s">
        <v>613</v>
      </c>
      <c r="Q22" t="s">
        <v>614</v>
      </c>
      <c r="R22">
        <v>30748</v>
      </c>
      <c r="S22" t="s">
        <v>65</v>
      </c>
      <c r="T22" s="6">
        <v>5287956234009060</v>
      </c>
      <c r="U22">
        <v>608</v>
      </c>
      <c r="V22">
        <v>43617</v>
      </c>
      <c r="W22" t="s">
        <v>615</v>
      </c>
      <c r="X22" t="s">
        <v>616</v>
      </c>
      <c r="Y22" t="s">
        <v>59</v>
      </c>
      <c r="Z22" t="s">
        <v>617</v>
      </c>
      <c r="AA22" t="s">
        <v>618</v>
      </c>
      <c r="AB22" t="s">
        <v>619</v>
      </c>
      <c r="AC22" t="s">
        <v>620</v>
      </c>
      <c r="AD22" t="s">
        <v>87</v>
      </c>
      <c r="AE22">
        <v>168.5</v>
      </c>
      <c r="AF22">
        <v>76.599999999999994</v>
      </c>
      <c r="AG22" t="s">
        <v>178</v>
      </c>
      <c r="AH22">
        <v>159</v>
      </c>
      <c r="AI22" t="s">
        <v>621</v>
      </c>
      <c r="AJ22">
        <v>49.045489000000003</v>
      </c>
      <c r="AK22">
        <v>-122.88187600000001</v>
      </c>
    </row>
    <row r="23" spans="1:37" x14ac:dyDescent="0.3">
      <c r="A23">
        <v>4199</v>
      </c>
      <c r="B23" t="s">
        <v>61</v>
      </c>
      <c r="C23" t="s">
        <v>73</v>
      </c>
      <c r="D23" t="s">
        <v>622</v>
      </c>
      <c r="E23" t="s">
        <v>204</v>
      </c>
      <c r="F23" t="s">
        <v>235</v>
      </c>
      <c r="G23" t="s">
        <v>623</v>
      </c>
      <c r="H23" t="s">
        <v>1</v>
      </c>
      <c r="I23" t="s">
        <v>55</v>
      </c>
      <c r="J23" t="s">
        <v>117</v>
      </c>
      <c r="K23" t="s">
        <v>56</v>
      </c>
      <c r="L23" t="s">
        <v>57</v>
      </c>
      <c r="M23" t="s">
        <v>624</v>
      </c>
      <c r="N23" t="s">
        <v>625</v>
      </c>
      <c r="O23" t="s">
        <v>626</v>
      </c>
      <c r="P23" t="s">
        <v>627</v>
      </c>
      <c r="Q23" t="s">
        <v>628</v>
      </c>
      <c r="R23">
        <v>30445</v>
      </c>
      <c r="S23" t="s">
        <v>58</v>
      </c>
      <c r="T23" s="6">
        <v>4485099488919500</v>
      </c>
      <c r="U23">
        <v>901</v>
      </c>
      <c r="V23">
        <v>42856</v>
      </c>
      <c r="W23" t="s">
        <v>629</v>
      </c>
      <c r="X23" t="s">
        <v>630</v>
      </c>
      <c r="Y23" t="s">
        <v>66</v>
      </c>
      <c r="Z23" t="s">
        <v>631</v>
      </c>
      <c r="AA23" t="s">
        <v>632</v>
      </c>
      <c r="AB23" t="s">
        <v>633</v>
      </c>
      <c r="AC23" t="s">
        <v>634</v>
      </c>
      <c r="AD23" t="s">
        <v>80</v>
      </c>
      <c r="AE23">
        <v>215.2</v>
      </c>
      <c r="AF23">
        <v>97.8</v>
      </c>
      <c r="AG23" t="s">
        <v>178</v>
      </c>
      <c r="AH23">
        <v>159</v>
      </c>
      <c r="AI23" t="s">
        <v>635</v>
      </c>
      <c r="AJ23">
        <v>49.119711000000002</v>
      </c>
      <c r="AK23">
        <v>-122.767371</v>
      </c>
    </row>
    <row r="24" spans="1:37" x14ac:dyDescent="0.3">
      <c r="A24">
        <v>4259</v>
      </c>
      <c r="B24" t="s">
        <v>51</v>
      </c>
      <c r="C24" t="s">
        <v>52</v>
      </c>
      <c r="D24" t="s">
        <v>636</v>
      </c>
      <c r="E24" t="s">
        <v>8</v>
      </c>
      <c r="F24" t="s">
        <v>637</v>
      </c>
      <c r="G24" t="s">
        <v>638</v>
      </c>
      <c r="H24" t="s">
        <v>1</v>
      </c>
      <c r="I24" t="s">
        <v>55</v>
      </c>
      <c r="J24" t="s">
        <v>117</v>
      </c>
      <c r="K24" t="s">
        <v>56</v>
      </c>
      <c r="L24" t="s">
        <v>57</v>
      </c>
      <c r="M24" t="s">
        <v>639</v>
      </c>
      <c r="N24" t="s">
        <v>640</v>
      </c>
      <c r="O24" t="s">
        <v>641</v>
      </c>
      <c r="P24" t="s">
        <v>642</v>
      </c>
      <c r="Q24" t="s">
        <v>643</v>
      </c>
      <c r="R24">
        <v>33224</v>
      </c>
      <c r="S24" t="s">
        <v>65</v>
      </c>
      <c r="T24" s="6">
        <v>5515825058891170</v>
      </c>
      <c r="U24">
        <v>156</v>
      </c>
      <c r="V24">
        <v>42156</v>
      </c>
      <c r="W24" t="s">
        <v>644</v>
      </c>
      <c r="X24" t="s">
        <v>645</v>
      </c>
      <c r="Y24" t="s">
        <v>125</v>
      </c>
      <c r="Z24" t="s">
        <v>646</v>
      </c>
      <c r="AA24" t="s">
        <v>647</v>
      </c>
      <c r="AB24" t="s">
        <v>648</v>
      </c>
      <c r="AC24" t="s">
        <v>649</v>
      </c>
      <c r="AD24" t="s">
        <v>71</v>
      </c>
      <c r="AE24">
        <v>177.3</v>
      </c>
      <c r="AF24">
        <v>80.599999999999994</v>
      </c>
      <c r="AG24" t="s">
        <v>72</v>
      </c>
      <c r="AH24">
        <v>175</v>
      </c>
      <c r="AI24" t="s">
        <v>650</v>
      </c>
      <c r="AJ24">
        <v>49.192413999999999</v>
      </c>
      <c r="AK24">
        <v>-122.917169</v>
      </c>
    </row>
    <row r="25" spans="1:37" x14ac:dyDescent="0.3">
      <c r="A25">
        <v>4305</v>
      </c>
      <c r="B25" t="s">
        <v>61</v>
      </c>
      <c r="C25" t="s">
        <v>62</v>
      </c>
      <c r="D25" t="s">
        <v>240</v>
      </c>
      <c r="E25" t="s">
        <v>190</v>
      </c>
      <c r="F25" t="s">
        <v>651</v>
      </c>
      <c r="G25" t="s">
        <v>652</v>
      </c>
      <c r="H25" t="s">
        <v>1</v>
      </c>
      <c r="I25" t="s">
        <v>55</v>
      </c>
      <c r="J25" t="s">
        <v>117</v>
      </c>
      <c r="K25" t="s">
        <v>56</v>
      </c>
      <c r="L25" t="s">
        <v>57</v>
      </c>
      <c r="M25" t="s">
        <v>653</v>
      </c>
      <c r="N25" t="s">
        <v>654</v>
      </c>
      <c r="O25" t="s">
        <v>655</v>
      </c>
      <c r="P25" t="s">
        <v>656</v>
      </c>
      <c r="Q25" t="s">
        <v>657</v>
      </c>
      <c r="R25">
        <v>30361</v>
      </c>
      <c r="S25" t="s">
        <v>58</v>
      </c>
      <c r="T25" s="6">
        <v>4532440546801250</v>
      </c>
      <c r="U25">
        <v>251</v>
      </c>
      <c r="V25">
        <v>42644</v>
      </c>
      <c r="W25" t="s">
        <v>658</v>
      </c>
      <c r="X25" t="s">
        <v>659</v>
      </c>
      <c r="Y25" t="s">
        <v>59</v>
      </c>
      <c r="Z25" t="s">
        <v>660</v>
      </c>
      <c r="AA25" t="s">
        <v>661</v>
      </c>
      <c r="AB25" t="s">
        <v>662</v>
      </c>
      <c r="AC25" t="s">
        <v>663</v>
      </c>
      <c r="AD25" t="s">
        <v>92</v>
      </c>
      <c r="AE25">
        <v>213</v>
      </c>
      <c r="AF25">
        <v>96.8</v>
      </c>
      <c r="AG25" t="s">
        <v>178</v>
      </c>
      <c r="AH25">
        <v>159</v>
      </c>
      <c r="AI25" t="s">
        <v>664</v>
      </c>
      <c r="AJ25">
        <v>49.161546999999999</v>
      </c>
      <c r="AK25">
        <v>-122.726266</v>
      </c>
    </row>
    <row r="26" spans="1:37" x14ac:dyDescent="0.3">
      <c r="A26">
        <v>4531</v>
      </c>
      <c r="B26" t="s">
        <v>51</v>
      </c>
      <c r="C26" t="s">
        <v>52</v>
      </c>
      <c r="D26" t="s">
        <v>133</v>
      </c>
      <c r="E26" t="s">
        <v>94</v>
      </c>
      <c r="F26" t="s">
        <v>665</v>
      </c>
      <c r="G26" t="s">
        <v>666</v>
      </c>
      <c r="H26" t="s">
        <v>1</v>
      </c>
      <c r="I26" t="s">
        <v>55</v>
      </c>
      <c r="J26" t="s">
        <v>117</v>
      </c>
      <c r="K26" t="s">
        <v>56</v>
      </c>
      <c r="L26" t="s">
        <v>57</v>
      </c>
      <c r="M26" t="s">
        <v>667</v>
      </c>
      <c r="N26" t="s">
        <v>668</v>
      </c>
      <c r="O26" t="s">
        <v>669</v>
      </c>
      <c r="P26" t="s">
        <v>670</v>
      </c>
      <c r="Q26" t="s">
        <v>671</v>
      </c>
      <c r="R26">
        <v>14978</v>
      </c>
      <c r="S26" t="s">
        <v>65</v>
      </c>
      <c r="T26" s="6">
        <v>5548098043755780</v>
      </c>
      <c r="U26">
        <v>938</v>
      </c>
      <c r="V26">
        <v>43132</v>
      </c>
      <c r="W26" t="s">
        <v>672</v>
      </c>
      <c r="X26" t="s">
        <v>673</v>
      </c>
      <c r="Y26" t="s">
        <v>59</v>
      </c>
      <c r="Z26" t="s">
        <v>674</v>
      </c>
      <c r="AA26" t="s">
        <v>675</v>
      </c>
      <c r="AB26" t="s">
        <v>676</v>
      </c>
      <c r="AC26" t="s">
        <v>677</v>
      </c>
      <c r="AD26" t="s">
        <v>245</v>
      </c>
      <c r="AE26">
        <v>201.5</v>
      </c>
      <c r="AF26">
        <v>91.6</v>
      </c>
      <c r="AG26" t="s">
        <v>167</v>
      </c>
      <c r="AH26">
        <v>181</v>
      </c>
      <c r="AI26" t="s">
        <v>678</v>
      </c>
      <c r="AJ26">
        <v>49.051388000000003</v>
      </c>
      <c r="AK26">
        <v>-122.786822</v>
      </c>
    </row>
    <row r="27" spans="1:37" x14ac:dyDescent="0.3">
      <c r="A27">
        <v>5256</v>
      </c>
      <c r="B27" t="s">
        <v>61</v>
      </c>
      <c r="C27" t="s">
        <v>73</v>
      </c>
      <c r="D27" t="s">
        <v>679</v>
      </c>
      <c r="E27" t="s">
        <v>6</v>
      </c>
      <c r="F27" t="s">
        <v>680</v>
      </c>
      <c r="G27" t="s">
        <v>681</v>
      </c>
      <c r="H27" t="s">
        <v>1</v>
      </c>
      <c r="I27" t="s">
        <v>55</v>
      </c>
      <c r="J27" t="s">
        <v>147</v>
      </c>
      <c r="K27" t="s">
        <v>56</v>
      </c>
      <c r="L27" t="s">
        <v>57</v>
      </c>
      <c r="M27" t="s">
        <v>682</v>
      </c>
      <c r="N27" t="s">
        <v>683</v>
      </c>
      <c r="O27" t="s">
        <v>684</v>
      </c>
      <c r="P27" t="s">
        <v>685</v>
      </c>
      <c r="Q27" t="s">
        <v>686</v>
      </c>
      <c r="R27">
        <v>17118</v>
      </c>
      <c r="S27" t="s">
        <v>58</v>
      </c>
      <c r="T27" s="6">
        <v>4929723394061000</v>
      </c>
      <c r="U27">
        <v>768</v>
      </c>
      <c r="V27">
        <v>42522</v>
      </c>
      <c r="W27" t="s">
        <v>687</v>
      </c>
      <c r="X27" t="s">
        <v>688</v>
      </c>
      <c r="Y27" t="s">
        <v>136</v>
      </c>
      <c r="Z27" t="s">
        <v>689</v>
      </c>
      <c r="AA27" t="s">
        <v>690</v>
      </c>
      <c r="AB27" t="s">
        <v>691</v>
      </c>
      <c r="AC27" t="s">
        <v>692</v>
      </c>
      <c r="AD27" t="s">
        <v>92</v>
      </c>
      <c r="AE27">
        <v>223.5</v>
      </c>
      <c r="AF27">
        <v>101.6</v>
      </c>
      <c r="AG27" t="s">
        <v>229</v>
      </c>
      <c r="AH27">
        <v>162</v>
      </c>
      <c r="AI27" t="s">
        <v>693</v>
      </c>
      <c r="AJ27">
        <v>49.106752999999998</v>
      </c>
      <c r="AK27">
        <v>-122.795875</v>
      </c>
    </row>
    <row r="28" spans="1:37" x14ac:dyDescent="0.3">
      <c r="A28">
        <v>5386</v>
      </c>
      <c r="B28" t="s">
        <v>51</v>
      </c>
      <c r="C28" t="s">
        <v>52</v>
      </c>
      <c r="D28" t="s">
        <v>98</v>
      </c>
      <c r="E28" t="s">
        <v>14</v>
      </c>
      <c r="F28" t="s">
        <v>694</v>
      </c>
      <c r="G28" t="s">
        <v>695</v>
      </c>
      <c r="H28" t="s">
        <v>1</v>
      </c>
      <c r="I28" t="s">
        <v>55</v>
      </c>
      <c r="J28" t="s">
        <v>147</v>
      </c>
      <c r="K28" t="s">
        <v>56</v>
      </c>
      <c r="L28" t="s">
        <v>57</v>
      </c>
      <c r="M28" t="s">
        <v>696</v>
      </c>
      <c r="N28" t="s">
        <v>697</v>
      </c>
      <c r="O28" t="s">
        <v>698</v>
      </c>
      <c r="P28" t="s">
        <v>699</v>
      </c>
      <c r="Q28" t="s">
        <v>700</v>
      </c>
      <c r="R28">
        <v>14072</v>
      </c>
      <c r="S28" t="s">
        <v>58</v>
      </c>
      <c r="T28" s="6">
        <v>4485967039187450</v>
      </c>
      <c r="U28">
        <v>738</v>
      </c>
      <c r="V28">
        <v>42005</v>
      </c>
      <c r="W28" t="s">
        <v>701</v>
      </c>
      <c r="X28" t="s">
        <v>702</v>
      </c>
      <c r="Y28" t="s">
        <v>108</v>
      </c>
      <c r="Z28" t="s">
        <v>86</v>
      </c>
      <c r="AA28" t="s">
        <v>703</v>
      </c>
      <c r="AB28" t="s">
        <v>704</v>
      </c>
      <c r="AC28" t="s">
        <v>705</v>
      </c>
      <c r="AD28" t="s">
        <v>80</v>
      </c>
      <c r="AE28">
        <v>214.5</v>
      </c>
      <c r="AF28">
        <v>97.5</v>
      </c>
      <c r="AG28" t="s">
        <v>72</v>
      </c>
      <c r="AH28">
        <v>176</v>
      </c>
      <c r="AI28" t="s">
        <v>706</v>
      </c>
      <c r="AJ28">
        <v>49.094464000000002</v>
      </c>
      <c r="AK28">
        <v>-122.774558</v>
      </c>
    </row>
    <row r="29" spans="1:37" x14ac:dyDescent="0.3">
      <c r="A29">
        <v>5469</v>
      </c>
      <c r="B29" t="s">
        <v>61</v>
      </c>
      <c r="C29" t="s">
        <v>73</v>
      </c>
      <c r="D29" t="s">
        <v>137</v>
      </c>
      <c r="E29" t="s">
        <v>11</v>
      </c>
      <c r="F29" t="s">
        <v>707</v>
      </c>
      <c r="G29" t="s">
        <v>708</v>
      </c>
      <c r="H29" t="s">
        <v>1</v>
      </c>
      <c r="I29" t="s">
        <v>55</v>
      </c>
      <c r="J29" t="s">
        <v>147</v>
      </c>
      <c r="K29" t="s">
        <v>56</v>
      </c>
      <c r="L29" t="s">
        <v>57</v>
      </c>
      <c r="M29" t="s">
        <v>709</v>
      </c>
      <c r="N29" t="s">
        <v>710</v>
      </c>
      <c r="O29" t="s">
        <v>711</v>
      </c>
      <c r="P29" t="s">
        <v>712</v>
      </c>
      <c r="Q29" t="s">
        <v>713</v>
      </c>
      <c r="R29">
        <v>14752</v>
      </c>
      <c r="S29" t="s">
        <v>58</v>
      </c>
      <c r="T29" s="6">
        <v>4916626132921540</v>
      </c>
      <c r="U29">
        <v>689</v>
      </c>
      <c r="V29">
        <v>43800</v>
      </c>
      <c r="W29" t="s">
        <v>714</v>
      </c>
      <c r="X29" t="s">
        <v>715</v>
      </c>
      <c r="Y29" t="s">
        <v>59</v>
      </c>
      <c r="Z29" t="s">
        <v>716</v>
      </c>
      <c r="AA29" t="s">
        <v>717</v>
      </c>
      <c r="AB29" t="s">
        <v>718</v>
      </c>
      <c r="AC29" t="s">
        <v>719</v>
      </c>
      <c r="AD29" t="s">
        <v>71</v>
      </c>
      <c r="AE29">
        <v>161.5</v>
      </c>
      <c r="AF29">
        <v>73.400000000000006</v>
      </c>
      <c r="AG29" t="s">
        <v>81</v>
      </c>
      <c r="AH29">
        <v>167</v>
      </c>
      <c r="AI29" t="s">
        <v>720</v>
      </c>
      <c r="AJ29">
        <v>49.200066</v>
      </c>
      <c r="AK29">
        <v>-122.735438</v>
      </c>
    </row>
    <row r="30" spans="1:37" x14ac:dyDescent="0.3">
      <c r="A30">
        <v>5649</v>
      </c>
      <c r="B30" t="s">
        <v>51</v>
      </c>
      <c r="C30" t="s">
        <v>52</v>
      </c>
      <c r="D30" t="s">
        <v>721</v>
      </c>
      <c r="E30" t="s">
        <v>94</v>
      </c>
      <c r="F30" t="s">
        <v>722</v>
      </c>
      <c r="G30" t="s">
        <v>723</v>
      </c>
      <c r="H30" t="s">
        <v>1</v>
      </c>
      <c r="I30" t="s">
        <v>55</v>
      </c>
      <c r="J30" t="s">
        <v>147</v>
      </c>
      <c r="K30" t="s">
        <v>56</v>
      </c>
      <c r="L30" t="s">
        <v>57</v>
      </c>
      <c r="M30" t="s">
        <v>724</v>
      </c>
      <c r="N30" t="s">
        <v>725</v>
      </c>
      <c r="O30" t="s">
        <v>726</v>
      </c>
      <c r="P30" t="s">
        <v>727</v>
      </c>
      <c r="Q30" t="s">
        <v>209</v>
      </c>
      <c r="R30">
        <v>24678</v>
      </c>
      <c r="S30" t="s">
        <v>58</v>
      </c>
      <c r="T30" s="6">
        <v>4716701122919370</v>
      </c>
      <c r="U30">
        <v>480</v>
      </c>
      <c r="V30">
        <v>42948</v>
      </c>
      <c r="W30" t="s">
        <v>728</v>
      </c>
      <c r="X30" t="s">
        <v>729</v>
      </c>
      <c r="Y30" t="s">
        <v>59</v>
      </c>
      <c r="Z30" t="s">
        <v>730</v>
      </c>
      <c r="AA30" t="s">
        <v>731</v>
      </c>
      <c r="AB30" t="s">
        <v>732</v>
      </c>
      <c r="AC30" t="s">
        <v>733</v>
      </c>
      <c r="AD30" t="s">
        <v>60</v>
      </c>
      <c r="AE30">
        <v>232.5</v>
      </c>
      <c r="AF30">
        <v>105.7</v>
      </c>
      <c r="AG30" t="s">
        <v>97</v>
      </c>
      <c r="AH30">
        <v>173</v>
      </c>
      <c r="AI30" t="s">
        <v>734</v>
      </c>
      <c r="AJ30">
        <v>49.203609</v>
      </c>
      <c r="AK30">
        <v>-122.73479</v>
      </c>
    </row>
    <row r="31" spans="1:37" x14ac:dyDescent="0.3">
      <c r="A31">
        <v>5694</v>
      </c>
      <c r="B31" t="s">
        <v>51</v>
      </c>
      <c r="C31" t="s">
        <v>215</v>
      </c>
      <c r="D31" t="s">
        <v>546</v>
      </c>
      <c r="E31" t="s">
        <v>13</v>
      </c>
      <c r="F31" t="s">
        <v>735</v>
      </c>
      <c r="G31" t="s">
        <v>736</v>
      </c>
      <c r="H31" t="s">
        <v>1</v>
      </c>
      <c r="I31" t="s">
        <v>55</v>
      </c>
      <c r="J31" t="s">
        <v>147</v>
      </c>
      <c r="K31" t="s">
        <v>56</v>
      </c>
      <c r="L31" t="s">
        <v>57</v>
      </c>
      <c r="M31" t="s">
        <v>737</v>
      </c>
      <c r="N31" t="s">
        <v>738</v>
      </c>
      <c r="O31" t="s">
        <v>739</v>
      </c>
      <c r="P31" t="s">
        <v>740</v>
      </c>
      <c r="Q31" t="s">
        <v>741</v>
      </c>
      <c r="R31">
        <v>19707</v>
      </c>
      <c r="S31" t="s">
        <v>65</v>
      </c>
      <c r="T31" s="6">
        <v>5589710417437950</v>
      </c>
      <c r="U31">
        <v>308</v>
      </c>
      <c r="V31">
        <v>42370</v>
      </c>
      <c r="W31" t="s">
        <v>742</v>
      </c>
      <c r="X31" t="s">
        <v>743</v>
      </c>
      <c r="Y31" t="s">
        <v>59</v>
      </c>
      <c r="Z31" t="s">
        <v>744</v>
      </c>
      <c r="AA31" t="s">
        <v>745</v>
      </c>
      <c r="AB31" t="s">
        <v>746</v>
      </c>
      <c r="AC31" t="s">
        <v>747</v>
      </c>
      <c r="AD31" t="s">
        <v>80</v>
      </c>
      <c r="AE31">
        <v>196.9</v>
      </c>
      <c r="AF31">
        <v>89.5</v>
      </c>
      <c r="AG31" t="s">
        <v>97</v>
      </c>
      <c r="AH31">
        <v>173</v>
      </c>
      <c r="AI31" t="s">
        <v>748</v>
      </c>
      <c r="AJ31">
        <v>49.176941999999997</v>
      </c>
      <c r="AK31">
        <v>-122.78911600000001</v>
      </c>
    </row>
    <row r="32" spans="1:37" x14ac:dyDescent="0.3">
      <c r="A32">
        <v>5798</v>
      </c>
      <c r="B32" t="s">
        <v>51</v>
      </c>
      <c r="C32" t="s">
        <v>52</v>
      </c>
      <c r="D32" t="s">
        <v>749</v>
      </c>
      <c r="E32" t="s">
        <v>174</v>
      </c>
      <c r="F32" t="s">
        <v>750</v>
      </c>
      <c r="G32" t="s">
        <v>751</v>
      </c>
      <c r="H32" t="s">
        <v>1</v>
      </c>
      <c r="I32" t="s">
        <v>55</v>
      </c>
      <c r="J32" t="s">
        <v>147</v>
      </c>
      <c r="K32" t="s">
        <v>56</v>
      </c>
      <c r="L32" t="s">
        <v>57</v>
      </c>
      <c r="M32" t="s">
        <v>752</v>
      </c>
      <c r="N32" t="s">
        <v>753</v>
      </c>
      <c r="O32" t="s">
        <v>754</v>
      </c>
      <c r="P32" t="s">
        <v>755</v>
      </c>
      <c r="Q32" t="s">
        <v>756</v>
      </c>
      <c r="R32">
        <v>14680</v>
      </c>
      <c r="S32" t="s">
        <v>58</v>
      </c>
      <c r="T32" s="6">
        <v>4916282163161720</v>
      </c>
      <c r="U32">
        <v>949</v>
      </c>
      <c r="V32">
        <v>42005</v>
      </c>
      <c r="W32" t="s">
        <v>757</v>
      </c>
      <c r="X32" t="s">
        <v>758</v>
      </c>
      <c r="Y32" t="s">
        <v>59</v>
      </c>
      <c r="Z32" t="s">
        <v>759</v>
      </c>
      <c r="AA32" t="s">
        <v>760</v>
      </c>
      <c r="AB32" t="s">
        <v>761</v>
      </c>
      <c r="AC32" t="s">
        <v>762</v>
      </c>
      <c r="AD32" t="s">
        <v>245</v>
      </c>
      <c r="AE32">
        <v>207.9</v>
      </c>
      <c r="AF32">
        <v>94.5</v>
      </c>
      <c r="AG32" t="s">
        <v>88</v>
      </c>
      <c r="AH32">
        <v>164</v>
      </c>
      <c r="AI32" t="s">
        <v>763</v>
      </c>
      <c r="AJ32">
        <v>49.119855000000001</v>
      </c>
      <c r="AK32">
        <v>-122.723088</v>
      </c>
    </row>
    <row r="33" spans="1:37" x14ac:dyDescent="0.3">
      <c r="A33">
        <v>5952</v>
      </c>
      <c r="B33" t="s">
        <v>61</v>
      </c>
      <c r="C33" t="s">
        <v>62</v>
      </c>
      <c r="D33" t="s">
        <v>764</v>
      </c>
      <c r="E33" t="s">
        <v>53</v>
      </c>
      <c r="F33" t="s">
        <v>238</v>
      </c>
      <c r="G33" t="s">
        <v>765</v>
      </c>
      <c r="H33" t="s">
        <v>1</v>
      </c>
      <c r="I33" t="s">
        <v>55</v>
      </c>
      <c r="J33" t="s">
        <v>117</v>
      </c>
      <c r="K33" t="s">
        <v>56</v>
      </c>
      <c r="L33" t="s">
        <v>57</v>
      </c>
      <c r="M33" t="s">
        <v>766</v>
      </c>
      <c r="N33" t="s">
        <v>767</v>
      </c>
      <c r="O33" t="s">
        <v>768</v>
      </c>
      <c r="P33" t="s">
        <v>769</v>
      </c>
      <c r="Q33" t="s">
        <v>135</v>
      </c>
      <c r="R33">
        <v>26227</v>
      </c>
      <c r="S33" t="s">
        <v>58</v>
      </c>
      <c r="T33" s="6">
        <v>4539952767979670</v>
      </c>
      <c r="U33">
        <v>580</v>
      </c>
      <c r="V33">
        <v>42156</v>
      </c>
      <c r="W33" t="s">
        <v>770</v>
      </c>
      <c r="X33" t="s">
        <v>771</v>
      </c>
      <c r="Y33" t="s">
        <v>96</v>
      </c>
      <c r="Z33" t="s">
        <v>772</v>
      </c>
      <c r="AA33" t="s">
        <v>773</v>
      </c>
      <c r="AB33" t="s">
        <v>774</v>
      </c>
      <c r="AC33" t="s">
        <v>775</v>
      </c>
      <c r="AD33" t="s">
        <v>71</v>
      </c>
      <c r="AE33">
        <v>222.9</v>
      </c>
      <c r="AF33">
        <v>101.3</v>
      </c>
      <c r="AG33" t="s">
        <v>88</v>
      </c>
      <c r="AH33">
        <v>166</v>
      </c>
      <c r="AI33" t="s">
        <v>776</v>
      </c>
      <c r="AJ33">
        <v>49.188282999999998</v>
      </c>
      <c r="AK33">
        <v>-122.911806</v>
      </c>
    </row>
    <row r="34" spans="1:37" x14ac:dyDescent="0.3">
      <c r="A34">
        <v>6252</v>
      </c>
      <c r="B34" t="s">
        <v>51</v>
      </c>
      <c r="C34" t="s">
        <v>52</v>
      </c>
      <c r="D34" t="s">
        <v>777</v>
      </c>
      <c r="E34" t="s">
        <v>53</v>
      </c>
      <c r="F34" t="s">
        <v>778</v>
      </c>
      <c r="G34" t="s">
        <v>779</v>
      </c>
      <c r="H34" t="s">
        <v>1</v>
      </c>
      <c r="I34" t="s">
        <v>55</v>
      </c>
      <c r="J34" t="s">
        <v>117</v>
      </c>
      <c r="K34" t="s">
        <v>56</v>
      </c>
      <c r="L34" t="s">
        <v>57</v>
      </c>
      <c r="M34" t="s">
        <v>780</v>
      </c>
      <c r="N34" t="s">
        <v>781</v>
      </c>
      <c r="O34" t="s">
        <v>782</v>
      </c>
      <c r="P34" t="s">
        <v>783</v>
      </c>
      <c r="Q34" t="s">
        <v>784</v>
      </c>
      <c r="R34">
        <v>33659</v>
      </c>
      <c r="S34" t="s">
        <v>58</v>
      </c>
      <c r="T34" s="6">
        <v>4532655987389120</v>
      </c>
      <c r="U34">
        <v>759</v>
      </c>
      <c r="V34">
        <v>42552</v>
      </c>
      <c r="W34" t="s">
        <v>785</v>
      </c>
      <c r="X34" t="s">
        <v>786</v>
      </c>
      <c r="Y34" t="s">
        <v>59</v>
      </c>
      <c r="Z34" t="s">
        <v>787</v>
      </c>
      <c r="AA34" t="s">
        <v>206</v>
      </c>
      <c r="AB34" t="s">
        <v>788</v>
      </c>
      <c r="AC34" t="s">
        <v>789</v>
      </c>
      <c r="AD34" t="s">
        <v>80</v>
      </c>
      <c r="AE34">
        <v>165.4</v>
      </c>
      <c r="AF34">
        <v>75.2</v>
      </c>
      <c r="AG34" t="s">
        <v>172</v>
      </c>
      <c r="AH34">
        <v>188</v>
      </c>
      <c r="AI34" t="s">
        <v>790</v>
      </c>
      <c r="AJ34">
        <v>49.114023000000003</v>
      </c>
      <c r="AK34">
        <v>-122.834968</v>
      </c>
    </row>
    <row r="35" spans="1:37" x14ac:dyDescent="0.3">
      <c r="A35">
        <v>6337</v>
      </c>
      <c r="B35" t="s">
        <v>51</v>
      </c>
      <c r="C35" t="s">
        <v>52</v>
      </c>
      <c r="D35" t="s">
        <v>168</v>
      </c>
      <c r="E35" t="s">
        <v>142</v>
      </c>
      <c r="F35" t="s">
        <v>791</v>
      </c>
      <c r="G35" t="s">
        <v>792</v>
      </c>
      <c r="H35" t="s">
        <v>1</v>
      </c>
      <c r="I35" t="s">
        <v>55</v>
      </c>
      <c r="J35" t="s">
        <v>400</v>
      </c>
      <c r="K35" t="s">
        <v>56</v>
      </c>
      <c r="L35" t="s">
        <v>57</v>
      </c>
      <c r="M35" t="s">
        <v>793</v>
      </c>
      <c r="N35" t="s">
        <v>794</v>
      </c>
      <c r="O35" t="s">
        <v>795</v>
      </c>
      <c r="P35" t="s">
        <v>796</v>
      </c>
      <c r="Q35" t="s">
        <v>213</v>
      </c>
      <c r="R35">
        <v>30401</v>
      </c>
      <c r="S35" t="s">
        <v>65</v>
      </c>
      <c r="T35" s="6">
        <v>5421222690520320</v>
      </c>
      <c r="U35">
        <v>79</v>
      </c>
      <c r="V35">
        <v>43525</v>
      </c>
      <c r="W35" t="s">
        <v>797</v>
      </c>
      <c r="X35" t="s">
        <v>798</v>
      </c>
      <c r="Y35" t="s">
        <v>136</v>
      </c>
      <c r="Z35" t="s">
        <v>799</v>
      </c>
      <c r="AA35" t="s">
        <v>800</v>
      </c>
      <c r="AB35" t="s">
        <v>801</v>
      </c>
      <c r="AC35" t="s">
        <v>802</v>
      </c>
      <c r="AD35" t="s">
        <v>71</v>
      </c>
      <c r="AE35">
        <v>227.5</v>
      </c>
      <c r="AF35">
        <v>103.4</v>
      </c>
      <c r="AG35" t="s">
        <v>97</v>
      </c>
      <c r="AH35">
        <v>173</v>
      </c>
      <c r="AI35" t="s">
        <v>803</v>
      </c>
      <c r="AJ35">
        <v>49.060561999999997</v>
      </c>
      <c r="AK35">
        <v>-122.891215</v>
      </c>
    </row>
    <row r="36" spans="1:37" x14ac:dyDescent="0.3">
      <c r="A36">
        <v>6377</v>
      </c>
      <c r="B36" t="s">
        <v>51</v>
      </c>
      <c r="C36" t="s">
        <v>52</v>
      </c>
      <c r="D36" t="s">
        <v>721</v>
      </c>
      <c r="E36" t="s">
        <v>53</v>
      </c>
      <c r="F36" t="s">
        <v>804</v>
      </c>
      <c r="G36" t="s">
        <v>805</v>
      </c>
      <c r="H36" t="s">
        <v>1</v>
      </c>
      <c r="I36" t="s">
        <v>55</v>
      </c>
      <c r="J36" t="s">
        <v>416</v>
      </c>
      <c r="K36" t="s">
        <v>56</v>
      </c>
      <c r="L36" t="s">
        <v>57</v>
      </c>
      <c r="M36" t="s">
        <v>806</v>
      </c>
      <c r="N36" t="s">
        <v>807</v>
      </c>
      <c r="O36" t="s">
        <v>808</v>
      </c>
      <c r="P36" t="s">
        <v>809</v>
      </c>
      <c r="Q36" t="s">
        <v>243</v>
      </c>
      <c r="R36">
        <v>20899</v>
      </c>
      <c r="S36" t="s">
        <v>58</v>
      </c>
      <c r="T36" s="6">
        <v>4916163586783030</v>
      </c>
      <c r="U36">
        <v>574</v>
      </c>
      <c r="V36">
        <v>42675</v>
      </c>
      <c r="W36" t="s">
        <v>810</v>
      </c>
      <c r="X36" t="s">
        <v>811</v>
      </c>
      <c r="Y36" t="s">
        <v>59</v>
      </c>
      <c r="Z36" t="s">
        <v>812</v>
      </c>
      <c r="AA36" t="s">
        <v>813</v>
      </c>
      <c r="AB36" t="s">
        <v>814</v>
      </c>
      <c r="AC36" t="s">
        <v>815</v>
      </c>
      <c r="AD36" t="s">
        <v>245</v>
      </c>
      <c r="AE36">
        <v>214.7</v>
      </c>
      <c r="AF36">
        <v>97.6</v>
      </c>
      <c r="AG36" t="s">
        <v>111</v>
      </c>
      <c r="AH36">
        <v>178</v>
      </c>
      <c r="AI36" t="s">
        <v>816</v>
      </c>
      <c r="AJ36">
        <v>49.118065000000001</v>
      </c>
      <c r="AK36">
        <v>-122.816367</v>
      </c>
    </row>
    <row r="37" spans="1:37" x14ac:dyDescent="0.3">
      <c r="A37">
        <v>6421</v>
      </c>
      <c r="B37" t="s">
        <v>61</v>
      </c>
      <c r="C37" t="s">
        <v>73</v>
      </c>
      <c r="D37" t="s">
        <v>242</v>
      </c>
      <c r="E37" t="s">
        <v>9</v>
      </c>
      <c r="F37" t="s">
        <v>817</v>
      </c>
      <c r="G37" t="s">
        <v>818</v>
      </c>
      <c r="H37" t="s">
        <v>1</v>
      </c>
      <c r="I37" t="s">
        <v>55</v>
      </c>
      <c r="J37" t="s">
        <v>400</v>
      </c>
      <c r="K37" t="s">
        <v>56</v>
      </c>
      <c r="L37" t="s">
        <v>57</v>
      </c>
      <c r="M37" t="s">
        <v>819</v>
      </c>
      <c r="N37" t="s">
        <v>820</v>
      </c>
      <c r="O37" t="s">
        <v>821</v>
      </c>
      <c r="P37" t="s">
        <v>822</v>
      </c>
      <c r="Q37" t="s">
        <v>823</v>
      </c>
      <c r="R37">
        <v>18122</v>
      </c>
      <c r="S37" t="s">
        <v>65</v>
      </c>
      <c r="T37" s="6">
        <v>5272580097939350</v>
      </c>
      <c r="U37">
        <v>729</v>
      </c>
      <c r="V37">
        <v>42430</v>
      </c>
      <c r="W37" t="s">
        <v>824</v>
      </c>
      <c r="X37" t="s">
        <v>825</v>
      </c>
      <c r="Y37" t="s">
        <v>76</v>
      </c>
      <c r="Z37" t="s">
        <v>185</v>
      </c>
      <c r="AA37" t="s">
        <v>826</v>
      </c>
      <c r="AB37" t="s">
        <v>827</v>
      </c>
      <c r="AC37" t="s">
        <v>828</v>
      </c>
      <c r="AD37" t="s">
        <v>67</v>
      </c>
      <c r="AE37">
        <v>162.6</v>
      </c>
      <c r="AF37">
        <v>73.900000000000006</v>
      </c>
      <c r="AG37" t="s">
        <v>81</v>
      </c>
      <c r="AH37">
        <v>167</v>
      </c>
      <c r="AI37" t="s">
        <v>829</v>
      </c>
      <c r="AJ37">
        <v>49.048535999999999</v>
      </c>
      <c r="AK37">
        <v>-122.78819900000001</v>
      </c>
    </row>
    <row r="38" spans="1:37" x14ac:dyDescent="0.3">
      <c r="A38">
        <v>6423</v>
      </c>
      <c r="B38" t="s">
        <v>51</v>
      </c>
      <c r="C38" t="s">
        <v>52</v>
      </c>
      <c r="D38" t="s">
        <v>162</v>
      </c>
      <c r="E38" t="s">
        <v>204</v>
      </c>
      <c r="F38" t="s">
        <v>830</v>
      </c>
      <c r="G38" t="s">
        <v>831</v>
      </c>
      <c r="H38" t="s">
        <v>1</v>
      </c>
      <c r="I38" t="s">
        <v>55</v>
      </c>
      <c r="J38" t="s">
        <v>147</v>
      </c>
      <c r="K38" t="s">
        <v>56</v>
      </c>
      <c r="L38" t="s">
        <v>57</v>
      </c>
      <c r="M38" t="s">
        <v>832</v>
      </c>
      <c r="N38" t="s">
        <v>833</v>
      </c>
      <c r="O38" t="s">
        <v>834</v>
      </c>
      <c r="P38" t="s">
        <v>835</v>
      </c>
      <c r="Q38" t="s">
        <v>836</v>
      </c>
      <c r="R38">
        <v>20410</v>
      </c>
      <c r="S38" t="s">
        <v>58</v>
      </c>
      <c r="T38" s="6">
        <v>4532013415775800</v>
      </c>
      <c r="U38">
        <v>204</v>
      </c>
      <c r="V38">
        <v>43313</v>
      </c>
      <c r="W38" t="s">
        <v>837</v>
      </c>
      <c r="X38" t="s">
        <v>838</v>
      </c>
      <c r="Y38" t="s">
        <v>59</v>
      </c>
      <c r="Z38" t="s">
        <v>839</v>
      </c>
      <c r="AA38" t="s">
        <v>840</v>
      </c>
      <c r="AB38" t="s">
        <v>841</v>
      </c>
      <c r="AC38" t="s">
        <v>842</v>
      </c>
      <c r="AD38" t="s">
        <v>71</v>
      </c>
      <c r="AE38">
        <v>141.9</v>
      </c>
      <c r="AF38">
        <v>64.5</v>
      </c>
      <c r="AG38" t="s">
        <v>104</v>
      </c>
      <c r="AH38">
        <v>170</v>
      </c>
      <c r="AI38" t="s">
        <v>843</v>
      </c>
      <c r="AJ38">
        <v>49.162742999999999</v>
      </c>
      <c r="AK38">
        <v>-122.74198</v>
      </c>
    </row>
    <row r="39" spans="1:37" x14ac:dyDescent="0.3">
      <c r="A39">
        <v>6631</v>
      </c>
      <c r="B39" t="s">
        <v>61</v>
      </c>
      <c r="C39" t="s">
        <v>62</v>
      </c>
      <c r="D39" t="s">
        <v>844</v>
      </c>
      <c r="E39" t="s">
        <v>53</v>
      </c>
      <c r="F39" t="s">
        <v>845</v>
      </c>
      <c r="G39" t="s">
        <v>846</v>
      </c>
      <c r="H39" t="s">
        <v>1</v>
      </c>
      <c r="I39" t="s">
        <v>55</v>
      </c>
      <c r="J39" t="s">
        <v>117</v>
      </c>
      <c r="K39" t="s">
        <v>56</v>
      </c>
      <c r="L39" t="s">
        <v>57</v>
      </c>
      <c r="M39" t="s">
        <v>847</v>
      </c>
      <c r="N39" t="s">
        <v>848</v>
      </c>
      <c r="O39" t="s">
        <v>849</v>
      </c>
      <c r="P39" t="s">
        <v>850</v>
      </c>
      <c r="Q39" t="s">
        <v>851</v>
      </c>
      <c r="R39">
        <v>24491</v>
      </c>
      <c r="S39" t="s">
        <v>65</v>
      </c>
      <c r="T39" s="6">
        <v>5362012828327670</v>
      </c>
      <c r="U39">
        <v>10</v>
      </c>
      <c r="V39">
        <v>43800</v>
      </c>
      <c r="W39" t="s">
        <v>852</v>
      </c>
      <c r="X39" t="s">
        <v>853</v>
      </c>
      <c r="Y39" t="s">
        <v>136</v>
      </c>
      <c r="Z39" t="s">
        <v>854</v>
      </c>
      <c r="AA39" t="s">
        <v>166</v>
      </c>
      <c r="AB39" t="s">
        <v>855</v>
      </c>
      <c r="AC39" t="s">
        <v>856</v>
      </c>
      <c r="AD39" t="s">
        <v>92</v>
      </c>
      <c r="AE39">
        <v>163.69999999999999</v>
      </c>
      <c r="AF39">
        <v>74.400000000000006</v>
      </c>
      <c r="AG39" t="s">
        <v>229</v>
      </c>
      <c r="AH39">
        <v>162</v>
      </c>
      <c r="AI39" t="s">
        <v>857</v>
      </c>
      <c r="AJ39">
        <v>49.140332000000001</v>
      </c>
      <c r="AK39">
        <v>-122.795519</v>
      </c>
    </row>
    <row r="40" spans="1:37" x14ac:dyDescent="0.3">
      <c r="A40">
        <v>6648</v>
      </c>
      <c r="B40" t="s">
        <v>51</v>
      </c>
      <c r="C40" t="s">
        <v>52</v>
      </c>
      <c r="D40" t="s">
        <v>858</v>
      </c>
      <c r="E40" t="s">
        <v>190</v>
      </c>
      <c r="F40" t="s">
        <v>859</v>
      </c>
      <c r="G40" t="s">
        <v>860</v>
      </c>
      <c r="H40" t="s">
        <v>1</v>
      </c>
      <c r="I40" t="s">
        <v>55</v>
      </c>
      <c r="J40" t="s">
        <v>147</v>
      </c>
      <c r="K40" t="s">
        <v>56</v>
      </c>
      <c r="L40" t="s">
        <v>57</v>
      </c>
      <c r="M40" t="s">
        <v>861</v>
      </c>
      <c r="N40" t="s">
        <v>862</v>
      </c>
      <c r="O40" t="s">
        <v>863</v>
      </c>
      <c r="P40" t="s">
        <v>864</v>
      </c>
      <c r="Q40" t="s">
        <v>865</v>
      </c>
      <c r="R40">
        <v>17712</v>
      </c>
      <c r="S40" t="s">
        <v>58</v>
      </c>
      <c r="T40" s="6">
        <v>4929526635877330</v>
      </c>
      <c r="U40">
        <v>277</v>
      </c>
      <c r="V40">
        <v>42430</v>
      </c>
      <c r="W40" t="s">
        <v>866</v>
      </c>
      <c r="X40" t="s">
        <v>867</v>
      </c>
      <c r="Y40" t="s">
        <v>59</v>
      </c>
      <c r="Z40" t="s">
        <v>868</v>
      </c>
      <c r="AA40" t="s">
        <v>869</v>
      </c>
      <c r="AB40" t="s">
        <v>870</v>
      </c>
      <c r="AC40" t="s">
        <v>871</v>
      </c>
      <c r="AD40" t="s">
        <v>872</v>
      </c>
      <c r="AE40">
        <v>218</v>
      </c>
      <c r="AF40">
        <v>99.1</v>
      </c>
      <c r="AG40" t="s">
        <v>167</v>
      </c>
      <c r="AH40">
        <v>180</v>
      </c>
      <c r="AI40" t="s">
        <v>873</v>
      </c>
      <c r="AJ40">
        <v>49.080866</v>
      </c>
      <c r="AK40">
        <v>-122.832701</v>
      </c>
    </row>
    <row r="41" spans="1:37" x14ac:dyDescent="0.3">
      <c r="A41">
        <v>7018</v>
      </c>
      <c r="B41" t="s">
        <v>61</v>
      </c>
      <c r="C41" t="s">
        <v>62</v>
      </c>
      <c r="D41" t="s">
        <v>246</v>
      </c>
      <c r="E41" t="s">
        <v>190</v>
      </c>
      <c r="F41" t="s">
        <v>874</v>
      </c>
      <c r="G41" t="s">
        <v>875</v>
      </c>
      <c r="H41" t="s">
        <v>1</v>
      </c>
      <c r="I41" t="s">
        <v>55</v>
      </c>
      <c r="J41" t="s">
        <v>117</v>
      </c>
      <c r="K41" t="s">
        <v>56</v>
      </c>
      <c r="L41" t="s">
        <v>57</v>
      </c>
      <c r="M41" t="s">
        <v>876</v>
      </c>
      <c r="N41" t="s">
        <v>877</v>
      </c>
      <c r="O41" t="s">
        <v>878</v>
      </c>
      <c r="P41" t="s">
        <v>879</v>
      </c>
      <c r="Q41" t="s">
        <v>880</v>
      </c>
      <c r="R41">
        <v>32740</v>
      </c>
      <c r="S41" t="s">
        <v>65</v>
      </c>
      <c r="T41" s="6">
        <v>5187283991898770</v>
      </c>
      <c r="U41">
        <v>430</v>
      </c>
      <c r="V41">
        <v>43101</v>
      </c>
      <c r="W41" t="s">
        <v>881</v>
      </c>
      <c r="X41" t="s">
        <v>882</v>
      </c>
      <c r="Y41" t="s">
        <v>77</v>
      </c>
      <c r="Z41" t="s">
        <v>883</v>
      </c>
      <c r="AA41" t="s">
        <v>884</v>
      </c>
      <c r="AB41" t="s">
        <v>885</v>
      </c>
      <c r="AC41" t="s">
        <v>886</v>
      </c>
      <c r="AD41" t="s">
        <v>80</v>
      </c>
      <c r="AE41">
        <v>154</v>
      </c>
      <c r="AF41">
        <v>70</v>
      </c>
      <c r="AG41" t="s">
        <v>229</v>
      </c>
      <c r="AH41">
        <v>163</v>
      </c>
      <c r="AI41" t="s">
        <v>887</v>
      </c>
      <c r="AJ41">
        <v>49.045020999999998</v>
      </c>
      <c r="AK41">
        <v>-122.903998</v>
      </c>
    </row>
    <row r="42" spans="1:37" x14ac:dyDescent="0.3">
      <c r="A42">
        <v>7079</v>
      </c>
      <c r="B42" t="s">
        <v>61</v>
      </c>
      <c r="C42" t="s">
        <v>73</v>
      </c>
      <c r="D42" t="s">
        <v>888</v>
      </c>
      <c r="E42" t="s">
        <v>204</v>
      </c>
      <c r="F42" t="s">
        <v>889</v>
      </c>
      <c r="G42" t="s">
        <v>890</v>
      </c>
      <c r="H42" t="s">
        <v>1</v>
      </c>
      <c r="I42" t="s">
        <v>55</v>
      </c>
      <c r="J42" t="s">
        <v>891</v>
      </c>
      <c r="K42" t="s">
        <v>56</v>
      </c>
      <c r="L42" t="s">
        <v>57</v>
      </c>
      <c r="M42" t="s">
        <v>892</v>
      </c>
      <c r="N42" t="s">
        <v>893</v>
      </c>
      <c r="O42" t="s">
        <v>894</v>
      </c>
      <c r="P42" t="s">
        <v>895</v>
      </c>
      <c r="Q42" t="s">
        <v>896</v>
      </c>
      <c r="R42">
        <v>33431</v>
      </c>
      <c r="S42" t="s">
        <v>65</v>
      </c>
      <c r="T42" s="6">
        <v>5218693705547710</v>
      </c>
      <c r="U42">
        <v>850</v>
      </c>
      <c r="V42">
        <v>42186</v>
      </c>
      <c r="W42" t="s">
        <v>897</v>
      </c>
      <c r="X42" t="s">
        <v>898</v>
      </c>
      <c r="Y42" t="s">
        <v>77</v>
      </c>
      <c r="Z42" t="s">
        <v>899</v>
      </c>
      <c r="AA42" t="s">
        <v>900</v>
      </c>
      <c r="AB42" t="s">
        <v>901</v>
      </c>
      <c r="AC42" t="s">
        <v>902</v>
      </c>
      <c r="AD42" t="s">
        <v>92</v>
      </c>
      <c r="AE42">
        <v>159.1</v>
      </c>
      <c r="AF42">
        <v>72.3</v>
      </c>
      <c r="AG42" t="s">
        <v>178</v>
      </c>
      <c r="AH42">
        <v>160</v>
      </c>
      <c r="AI42" t="s">
        <v>903</v>
      </c>
      <c r="AJ42">
        <v>49.218744000000001</v>
      </c>
      <c r="AK42">
        <v>-122.770008</v>
      </c>
    </row>
    <row r="43" spans="1:37" x14ac:dyDescent="0.3">
      <c r="A43">
        <v>7083</v>
      </c>
      <c r="B43" t="s">
        <v>61</v>
      </c>
      <c r="C43" t="s">
        <v>62</v>
      </c>
      <c r="D43" t="s">
        <v>211</v>
      </c>
      <c r="E43" t="s">
        <v>53</v>
      </c>
      <c r="F43" t="s">
        <v>904</v>
      </c>
      <c r="G43" t="s">
        <v>905</v>
      </c>
      <c r="H43" t="s">
        <v>1</v>
      </c>
      <c r="I43" t="s">
        <v>55</v>
      </c>
      <c r="J43" t="s">
        <v>147</v>
      </c>
      <c r="K43" t="s">
        <v>56</v>
      </c>
      <c r="L43" t="s">
        <v>57</v>
      </c>
      <c r="M43" t="s">
        <v>906</v>
      </c>
      <c r="N43" t="s">
        <v>907</v>
      </c>
      <c r="O43" t="s">
        <v>908</v>
      </c>
      <c r="P43" t="s">
        <v>909</v>
      </c>
      <c r="Q43" t="s">
        <v>199</v>
      </c>
      <c r="R43">
        <v>13900</v>
      </c>
      <c r="S43" t="s">
        <v>58</v>
      </c>
      <c r="T43" s="6">
        <v>4916147061957460</v>
      </c>
      <c r="U43">
        <v>649</v>
      </c>
      <c r="V43">
        <v>42826</v>
      </c>
      <c r="W43" t="s">
        <v>910</v>
      </c>
      <c r="X43" t="s">
        <v>911</v>
      </c>
      <c r="Y43" t="s">
        <v>77</v>
      </c>
      <c r="Z43" t="s">
        <v>912</v>
      </c>
      <c r="AA43" t="s">
        <v>913</v>
      </c>
      <c r="AB43" t="s">
        <v>914</v>
      </c>
      <c r="AC43" t="s">
        <v>915</v>
      </c>
      <c r="AD43" t="s">
        <v>71</v>
      </c>
      <c r="AE43">
        <v>194.7</v>
      </c>
      <c r="AF43">
        <v>88.5</v>
      </c>
      <c r="AG43" t="s">
        <v>88</v>
      </c>
      <c r="AH43">
        <v>166</v>
      </c>
      <c r="AI43" t="s">
        <v>916</v>
      </c>
      <c r="AJ43">
        <v>49.175120999999997</v>
      </c>
      <c r="AK43">
        <v>-122.734128</v>
      </c>
    </row>
    <row r="44" spans="1:37" x14ac:dyDescent="0.3">
      <c r="A44">
        <v>7172</v>
      </c>
      <c r="B44" t="s">
        <v>51</v>
      </c>
      <c r="C44" t="s">
        <v>52</v>
      </c>
      <c r="D44" t="s">
        <v>231</v>
      </c>
      <c r="E44" t="s">
        <v>8</v>
      </c>
      <c r="F44" t="s">
        <v>54</v>
      </c>
      <c r="G44" t="s">
        <v>917</v>
      </c>
      <c r="H44" t="s">
        <v>1</v>
      </c>
      <c r="I44" t="s">
        <v>55</v>
      </c>
      <c r="J44" t="s">
        <v>117</v>
      </c>
      <c r="K44" t="s">
        <v>56</v>
      </c>
      <c r="L44" t="s">
        <v>57</v>
      </c>
      <c r="M44" t="s">
        <v>918</v>
      </c>
      <c r="N44" t="s">
        <v>919</v>
      </c>
      <c r="O44" t="s">
        <v>920</v>
      </c>
      <c r="P44" t="s">
        <v>921</v>
      </c>
      <c r="Q44" t="s">
        <v>922</v>
      </c>
      <c r="R44">
        <v>34442</v>
      </c>
      <c r="S44" t="s">
        <v>65</v>
      </c>
      <c r="T44" s="6">
        <v>5152094397507000</v>
      </c>
      <c r="U44">
        <v>262</v>
      </c>
      <c r="V44">
        <v>42644</v>
      </c>
      <c r="W44" t="s">
        <v>923</v>
      </c>
      <c r="X44" t="s">
        <v>924</v>
      </c>
      <c r="Y44" t="s">
        <v>59</v>
      </c>
      <c r="Z44" t="s">
        <v>925</v>
      </c>
      <c r="AA44" t="s">
        <v>926</v>
      </c>
      <c r="AB44" t="s">
        <v>927</v>
      </c>
      <c r="AC44" t="s">
        <v>928</v>
      </c>
      <c r="AD44" t="s">
        <v>92</v>
      </c>
      <c r="AE44">
        <v>186.6</v>
      </c>
      <c r="AF44">
        <v>84.8</v>
      </c>
      <c r="AG44" t="s">
        <v>72</v>
      </c>
      <c r="AH44">
        <v>175</v>
      </c>
      <c r="AI44" t="s">
        <v>929</v>
      </c>
      <c r="AJ44">
        <v>49.120958000000002</v>
      </c>
      <c r="AK44">
        <v>-122.907759</v>
      </c>
    </row>
    <row r="45" spans="1:37" x14ac:dyDescent="0.3">
      <c r="A45">
        <v>7205</v>
      </c>
      <c r="B45" t="s">
        <v>51</v>
      </c>
      <c r="C45" t="s">
        <v>52</v>
      </c>
      <c r="D45" t="s">
        <v>930</v>
      </c>
      <c r="E45" t="s">
        <v>53</v>
      </c>
      <c r="F45" t="s">
        <v>163</v>
      </c>
      <c r="G45" t="s">
        <v>931</v>
      </c>
      <c r="H45" t="s">
        <v>1</v>
      </c>
      <c r="I45" t="s">
        <v>55</v>
      </c>
      <c r="J45" t="s">
        <v>117</v>
      </c>
      <c r="K45" t="s">
        <v>56</v>
      </c>
      <c r="L45" t="s">
        <v>57</v>
      </c>
      <c r="M45" t="s">
        <v>932</v>
      </c>
      <c r="N45" t="s">
        <v>933</v>
      </c>
      <c r="O45" t="s">
        <v>934</v>
      </c>
      <c r="P45" t="s">
        <v>935</v>
      </c>
      <c r="Q45" t="s">
        <v>936</v>
      </c>
      <c r="R45">
        <v>22601</v>
      </c>
      <c r="S45" t="s">
        <v>58</v>
      </c>
      <c r="T45" s="6">
        <v>4532706992024240</v>
      </c>
      <c r="U45">
        <v>936</v>
      </c>
      <c r="V45">
        <v>43405</v>
      </c>
      <c r="W45" t="s">
        <v>937</v>
      </c>
      <c r="X45" t="s">
        <v>938</v>
      </c>
      <c r="Y45" t="s">
        <v>59</v>
      </c>
      <c r="Z45" t="s">
        <v>939</v>
      </c>
      <c r="AA45" t="s">
        <v>940</v>
      </c>
      <c r="AB45" t="s">
        <v>941</v>
      </c>
      <c r="AC45" t="s">
        <v>942</v>
      </c>
      <c r="AD45" t="s">
        <v>71</v>
      </c>
      <c r="AE45">
        <v>220.4</v>
      </c>
      <c r="AF45">
        <v>100.2</v>
      </c>
      <c r="AG45" t="s">
        <v>81</v>
      </c>
      <c r="AH45">
        <v>167</v>
      </c>
      <c r="AI45" t="s">
        <v>943</v>
      </c>
      <c r="AJ45">
        <v>49.116292000000001</v>
      </c>
      <c r="AK45">
        <v>-122.78532199999999</v>
      </c>
    </row>
    <row r="46" spans="1:37" x14ac:dyDescent="0.3">
      <c r="A46">
        <v>7461</v>
      </c>
      <c r="B46" t="s">
        <v>61</v>
      </c>
      <c r="C46" t="s">
        <v>62</v>
      </c>
      <c r="D46" t="s">
        <v>244</v>
      </c>
      <c r="E46" t="s">
        <v>7</v>
      </c>
      <c r="F46" t="s">
        <v>944</v>
      </c>
      <c r="G46" t="s">
        <v>945</v>
      </c>
      <c r="H46" t="s">
        <v>1</v>
      </c>
      <c r="I46" t="s">
        <v>55</v>
      </c>
      <c r="J46" t="s">
        <v>117</v>
      </c>
      <c r="K46" t="s">
        <v>56</v>
      </c>
      <c r="L46" t="s">
        <v>57</v>
      </c>
      <c r="M46" t="s">
        <v>946</v>
      </c>
      <c r="N46" t="s">
        <v>947</v>
      </c>
      <c r="O46" t="s">
        <v>948</v>
      </c>
      <c r="P46" t="s">
        <v>949</v>
      </c>
      <c r="Q46" t="s">
        <v>950</v>
      </c>
      <c r="R46">
        <v>20028</v>
      </c>
      <c r="S46" t="s">
        <v>58</v>
      </c>
      <c r="T46" s="6">
        <v>4532271496425400</v>
      </c>
      <c r="U46">
        <v>38</v>
      </c>
      <c r="V46">
        <v>43647</v>
      </c>
      <c r="W46" t="s">
        <v>951</v>
      </c>
      <c r="X46" t="s">
        <v>952</v>
      </c>
      <c r="Y46" t="s">
        <v>59</v>
      </c>
      <c r="Z46" t="s">
        <v>953</v>
      </c>
      <c r="AA46" t="s">
        <v>954</v>
      </c>
      <c r="AB46" t="s">
        <v>955</v>
      </c>
      <c r="AC46" t="s">
        <v>956</v>
      </c>
      <c r="AD46" t="s">
        <v>80</v>
      </c>
      <c r="AE46">
        <v>128.69999999999999</v>
      </c>
      <c r="AF46">
        <v>58.5</v>
      </c>
      <c r="AG46" t="s">
        <v>97</v>
      </c>
      <c r="AH46">
        <v>173</v>
      </c>
      <c r="AI46" t="s">
        <v>957</v>
      </c>
      <c r="AJ46">
        <v>49.168666000000002</v>
      </c>
      <c r="AK46">
        <v>-122.86638499999999</v>
      </c>
    </row>
    <row r="47" spans="1:37" x14ac:dyDescent="0.3">
      <c r="A47">
        <v>7676</v>
      </c>
      <c r="B47" t="s">
        <v>61</v>
      </c>
      <c r="C47" t="s">
        <v>73</v>
      </c>
      <c r="D47" t="s">
        <v>958</v>
      </c>
      <c r="E47" t="s">
        <v>53</v>
      </c>
      <c r="F47" t="s">
        <v>959</v>
      </c>
      <c r="G47" t="s">
        <v>960</v>
      </c>
      <c r="H47" t="s">
        <v>1</v>
      </c>
      <c r="I47" t="s">
        <v>55</v>
      </c>
      <c r="J47" t="s">
        <v>147</v>
      </c>
      <c r="K47" t="s">
        <v>56</v>
      </c>
      <c r="L47" t="s">
        <v>57</v>
      </c>
      <c r="M47" t="s">
        <v>961</v>
      </c>
      <c r="N47" t="s">
        <v>962</v>
      </c>
      <c r="O47" t="s">
        <v>963</v>
      </c>
      <c r="P47" t="s">
        <v>964</v>
      </c>
      <c r="Q47" t="s">
        <v>965</v>
      </c>
      <c r="R47">
        <v>15879</v>
      </c>
      <c r="S47" t="s">
        <v>58</v>
      </c>
      <c r="T47" s="6">
        <v>4716240532941760</v>
      </c>
      <c r="U47">
        <v>528</v>
      </c>
      <c r="V47">
        <v>43405</v>
      </c>
      <c r="W47" t="s">
        <v>966</v>
      </c>
      <c r="X47" t="s">
        <v>967</v>
      </c>
      <c r="Y47" t="s">
        <v>96</v>
      </c>
      <c r="Z47" t="s">
        <v>968</v>
      </c>
      <c r="AA47" t="s">
        <v>969</v>
      </c>
      <c r="AB47" t="s">
        <v>970</v>
      </c>
      <c r="AC47" t="s">
        <v>971</v>
      </c>
      <c r="AD47" t="s">
        <v>92</v>
      </c>
      <c r="AE47">
        <v>123.9</v>
      </c>
      <c r="AF47">
        <v>56.3</v>
      </c>
      <c r="AG47" t="s">
        <v>81</v>
      </c>
      <c r="AH47">
        <v>168</v>
      </c>
      <c r="AI47" t="s">
        <v>972</v>
      </c>
      <c r="AJ47">
        <v>49.190753000000001</v>
      </c>
      <c r="AK47">
        <v>-122.730338</v>
      </c>
    </row>
    <row r="48" spans="1:37" x14ac:dyDescent="0.3">
      <c r="A48">
        <v>7999</v>
      </c>
      <c r="B48" t="s">
        <v>61</v>
      </c>
      <c r="C48" t="s">
        <v>62</v>
      </c>
      <c r="D48" t="s">
        <v>973</v>
      </c>
      <c r="E48" t="s">
        <v>142</v>
      </c>
      <c r="F48" t="s">
        <v>974</v>
      </c>
      <c r="G48" t="s">
        <v>975</v>
      </c>
      <c r="H48" t="s">
        <v>1</v>
      </c>
      <c r="I48" t="s">
        <v>55</v>
      </c>
      <c r="J48" t="s">
        <v>117</v>
      </c>
      <c r="K48" t="s">
        <v>56</v>
      </c>
      <c r="L48" t="s">
        <v>57</v>
      </c>
      <c r="M48" t="s">
        <v>976</v>
      </c>
      <c r="N48" t="s">
        <v>977</v>
      </c>
      <c r="O48" t="s">
        <v>978</v>
      </c>
      <c r="P48" t="s">
        <v>979</v>
      </c>
      <c r="Q48" t="s">
        <v>980</v>
      </c>
      <c r="R48">
        <v>31711</v>
      </c>
      <c r="S48" t="s">
        <v>58</v>
      </c>
      <c r="T48" s="6">
        <v>4716786235719960</v>
      </c>
      <c r="U48">
        <v>843</v>
      </c>
      <c r="V48">
        <v>42036</v>
      </c>
      <c r="W48" t="s">
        <v>981</v>
      </c>
      <c r="X48" t="s">
        <v>982</v>
      </c>
      <c r="Y48" t="s">
        <v>59</v>
      </c>
      <c r="Z48" t="s">
        <v>983</v>
      </c>
      <c r="AA48" t="s">
        <v>233</v>
      </c>
      <c r="AB48" t="s">
        <v>984</v>
      </c>
      <c r="AC48" t="s">
        <v>985</v>
      </c>
      <c r="AD48" t="s">
        <v>87</v>
      </c>
      <c r="AE48">
        <v>199.3</v>
      </c>
      <c r="AF48">
        <v>90.6</v>
      </c>
      <c r="AG48" t="s">
        <v>104</v>
      </c>
      <c r="AH48">
        <v>169</v>
      </c>
      <c r="AI48" t="s">
        <v>986</v>
      </c>
      <c r="AJ48">
        <v>49.130555999999999</v>
      </c>
      <c r="AK48">
        <v>-122.72662699999999</v>
      </c>
    </row>
    <row r="49" spans="1:37" x14ac:dyDescent="0.3">
      <c r="A49">
        <v>8076</v>
      </c>
      <c r="B49" t="s">
        <v>61</v>
      </c>
      <c r="C49" t="s">
        <v>73</v>
      </c>
      <c r="D49" t="s">
        <v>987</v>
      </c>
      <c r="E49" t="s">
        <v>8</v>
      </c>
      <c r="F49" t="s">
        <v>988</v>
      </c>
      <c r="G49" t="s">
        <v>989</v>
      </c>
      <c r="H49" t="s">
        <v>1</v>
      </c>
      <c r="I49" t="s">
        <v>55</v>
      </c>
      <c r="J49" t="s">
        <v>416</v>
      </c>
      <c r="K49" t="s">
        <v>56</v>
      </c>
      <c r="L49" t="s">
        <v>57</v>
      </c>
      <c r="M49" t="s">
        <v>990</v>
      </c>
      <c r="N49" t="s">
        <v>991</v>
      </c>
      <c r="O49" t="s">
        <v>992</v>
      </c>
      <c r="P49" t="s">
        <v>993</v>
      </c>
      <c r="Q49" t="s">
        <v>994</v>
      </c>
      <c r="R49">
        <v>33498</v>
      </c>
      <c r="S49" t="s">
        <v>65</v>
      </c>
      <c r="T49" s="6">
        <v>5505294196518230</v>
      </c>
      <c r="U49">
        <v>92</v>
      </c>
      <c r="V49">
        <v>43497</v>
      </c>
      <c r="W49" t="s">
        <v>995</v>
      </c>
      <c r="X49" t="s">
        <v>996</v>
      </c>
      <c r="Y49" t="s">
        <v>96</v>
      </c>
      <c r="Z49" t="s">
        <v>997</v>
      </c>
      <c r="AA49" t="s">
        <v>998</v>
      </c>
      <c r="AB49" t="s">
        <v>999</v>
      </c>
      <c r="AC49" t="s">
        <v>1000</v>
      </c>
      <c r="AD49" t="s">
        <v>80</v>
      </c>
      <c r="AE49">
        <v>175.3</v>
      </c>
      <c r="AF49">
        <v>79.7</v>
      </c>
      <c r="AG49" t="s">
        <v>229</v>
      </c>
      <c r="AH49">
        <v>163</v>
      </c>
      <c r="AI49" t="s">
        <v>1001</v>
      </c>
      <c r="AJ49">
        <v>49.117063999999999</v>
      </c>
      <c r="AK49">
        <v>-122.729478</v>
      </c>
    </row>
    <row r="50" spans="1:37" x14ac:dyDescent="0.3">
      <c r="A50">
        <v>8151</v>
      </c>
      <c r="B50" t="s">
        <v>51</v>
      </c>
      <c r="C50" t="s">
        <v>52</v>
      </c>
      <c r="D50" t="s">
        <v>784</v>
      </c>
      <c r="E50" t="s">
        <v>90</v>
      </c>
      <c r="F50" t="s">
        <v>247</v>
      </c>
      <c r="G50" t="s">
        <v>1002</v>
      </c>
      <c r="H50" t="s">
        <v>1</v>
      </c>
      <c r="I50" t="s">
        <v>55</v>
      </c>
      <c r="J50" t="s">
        <v>147</v>
      </c>
      <c r="K50" t="s">
        <v>56</v>
      </c>
      <c r="L50" t="s">
        <v>57</v>
      </c>
      <c r="M50" t="s">
        <v>1003</v>
      </c>
      <c r="N50" t="s">
        <v>1004</v>
      </c>
      <c r="O50" t="s">
        <v>1005</v>
      </c>
      <c r="P50" t="s">
        <v>1006</v>
      </c>
      <c r="Q50" t="s">
        <v>1007</v>
      </c>
      <c r="R50">
        <v>31158</v>
      </c>
      <c r="S50" t="s">
        <v>58</v>
      </c>
      <c r="T50" s="6">
        <v>4929062956984670</v>
      </c>
      <c r="U50">
        <v>571</v>
      </c>
      <c r="V50">
        <v>42736</v>
      </c>
      <c r="W50" t="s">
        <v>1008</v>
      </c>
      <c r="X50" t="s">
        <v>1009</v>
      </c>
      <c r="Y50" t="s">
        <v>59</v>
      </c>
      <c r="Z50" t="s">
        <v>1010</v>
      </c>
      <c r="AA50" t="s">
        <v>869</v>
      </c>
      <c r="AB50" t="s">
        <v>1011</v>
      </c>
      <c r="AC50" t="s">
        <v>1012</v>
      </c>
      <c r="AD50" t="s">
        <v>92</v>
      </c>
      <c r="AE50">
        <v>246.2</v>
      </c>
      <c r="AF50">
        <v>111.9</v>
      </c>
      <c r="AG50" t="s">
        <v>97</v>
      </c>
      <c r="AH50">
        <v>172</v>
      </c>
      <c r="AI50" t="s">
        <v>1013</v>
      </c>
      <c r="AJ50">
        <v>49.077388999999997</v>
      </c>
      <c r="AK50">
        <v>-122.849034</v>
      </c>
    </row>
    <row r="51" spans="1:37" x14ac:dyDescent="0.3">
      <c r="A51">
        <v>8244</v>
      </c>
      <c r="B51" t="s">
        <v>51</v>
      </c>
      <c r="C51" t="s">
        <v>52</v>
      </c>
      <c r="D51" t="s">
        <v>1014</v>
      </c>
      <c r="E51" t="s">
        <v>7</v>
      </c>
      <c r="F51" t="s">
        <v>1015</v>
      </c>
      <c r="G51" t="s">
        <v>1016</v>
      </c>
      <c r="H51" t="s">
        <v>1</v>
      </c>
      <c r="I51" t="s">
        <v>55</v>
      </c>
      <c r="J51" t="s">
        <v>416</v>
      </c>
      <c r="K51" t="s">
        <v>56</v>
      </c>
      <c r="L51" t="s">
        <v>57</v>
      </c>
      <c r="M51" t="s">
        <v>1017</v>
      </c>
      <c r="N51" t="s">
        <v>1018</v>
      </c>
      <c r="O51" t="s">
        <v>1019</v>
      </c>
      <c r="P51" t="s">
        <v>1020</v>
      </c>
      <c r="Q51" t="s">
        <v>1021</v>
      </c>
      <c r="R51">
        <v>16520</v>
      </c>
      <c r="S51" t="s">
        <v>58</v>
      </c>
      <c r="T51" s="6">
        <v>4539401443214550</v>
      </c>
      <c r="U51">
        <v>46</v>
      </c>
      <c r="V51">
        <v>43282</v>
      </c>
      <c r="W51" t="s">
        <v>1022</v>
      </c>
      <c r="X51" t="s">
        <v>1023</v>
      </c>
      <c r="Y51" t="s">
        <v>59</v>
      </c>
      <c r="Z51" t="s">
        <v>1024</v>
      </c>
      <c r="AA51" t="s">
        <v>1025</v>
      </c>
      <c r="AB51" t="s">
        <v>1026</v>
      </c>
      <c r="AC51" t="s">
        <v>193</v>
      </c>
      <c r="AD51" t="s">
        <v>71</v>
      </c>
      <c r="AE51">
        <v>189.2</v>
      </c>
      <c r="AF51">
        <v>86</v>
      </c>
      <c r="AG51" t="s">
        <v>104</v>
      </c>
      <c r="AH51">
        <v>171</v>
      </c>
      <c r="AI51" t="s">
        <v>1027</v>
      </c>
      <c r="AJ51">
        <v>49.206902999999997</v>
      </c>
      <c r="AK51">
        <v>-122.846675</v>
      </c>
    </row>
    <row r="52" spans="1:37" x14ac:dyDescent="0.3">
      <c r="A52">
        <v>8409</v>
      </c>
      <c r="B52" t="s">
        <v>51</v>
      </c>
      <c r="C52" t="s">
        <v>52</v>
      </c>
      <c r="D52" t="s">
        <v>1028</v>
      </c>
      <c r="E52" t="s">
        <v>10</v>
      </c>
      <c r="F52" t="s">
        <v>1029</v>
      </c>
      <c r="G52" t="s">
        <v>1030</v>
      </c>
      <c r="H52" t="s">
        <v>1</v>
      </c>
      <c r="I52" t="s">
        <v>55</v>
      </c>
      <c r="J52" t="s">
        <v>117</v>
      </c>
      <c r="K52" t="s">
        <v>56</v>
      </c>
      <c r="L52" t="s">
        <v>57</v>
      </c>
      <c r="M52" t="s">
        <v>1031</v>
      </c>
      <c r="N52" t="s">
        <v>1032</v>
      </c>
      <c r="O52" t="s">
        <v>1033</v>
      </c>
      <c r="P52" t="s">
        <v>1034</v>
      </c>
      <c r="Q52" t="s">
        <v>107</v>
      </c>
      <c r="R52">
        <v>21936</v>
      </c>
      <c r="S52" t="s">
        <v>58</v>
      </c>
      <c r="T52" s="6">
        <v>4929804607128540</v>
      </c>
      <c r="U52">
        <v>237</v>
      </c>
      <c r="V52">
        <v>42583</v>
      </c>
      <c r="W52" t="s">
        <v>1035</v>
      </c>
      <c r="X52" t="s">
        <v>1036</v>
      </c>
      <c r="Y52" t="s">
        <v>66</v>
      </c>
      <c r="Z52" t="s">
        <v>1037</v>
      </c>
      <c r="AA52" t="s">
        <v>1038</v>
      </c>
      <c r="AB52" t="s">
        <v>1039</v>
      </c>
      <c r="AC52" t="s">
        <v>1040</v>
      </c>
      <c r="AD52" t="s">
        <v>71</v>
      </c>
      <c r="AE52">
        <v>210.8</v>
      </c>
      <c r="AF52">
        <v>95.8</v>
      </c>
      <c r="AG52" t="s">
        <v>104</v>
      </c>
      <c r="AH52">
        <v>171</v>
      </c>
      <c r="AI52" t="s">
        <v>1041</v>
      </c>
      <c r="AJ52">
        <v>49.088016000000003</v>
      </c>
      <c r="AK52">
        <v>-122.75016100000001</v>
      </c>
    </row>
    <row r="53" spans="1:37" x14ac:dyDescent="0.3">
      <c r="A53">
        <v>9186</v>
      </c>
      <c r="B53" t="s">
        <v>51</v>
      </c>
      <c r="C53" t="s">
        <v>52</v>
      </c>
      <c r="D53" t="s">
        <v>168</v>
      </c>
      <c r="E53" t="s">
        <v>6</v>
      </c>
      <c r="F53" t="s">
        <v>1042</v>
      </c>
      <c r="G53" t="s">
        <v>1043</v>
      </c>
      <c r="H53" t="s">
        <v>1</v>
      </c>
      <c r="I53" t="s">
        <v>55</v>
      </c>
      <c r="J53" t="s">
        <v>117</v>
      </c>
      <c r="K53" t="s">
        <v>56</v>
      </c>
      <c r="L53" t="s">
        <v>57</v>
      </c>
      <c r="M53" t="s">
        <v>1044</v>
      </c>
      <c r="N53" t="s">
        <v>1045</v>
      </c>
      <c r="O53" t="s">
        <v>1046</v>
      </c>
      <c r="P53" t="s">
        <v>1047</v>
      </c>
      <c r="Q53" t="s">
        <v>1048</v>
      </c>
      <c r="R53">
        <v>18087</v>
      </c>
      <c r="S53" t="s">
        <v>58</v>
      </c>
      <c r="T53" s="6">
        <v>4485452051295570</v>
      </c>
      <c r="U53">
        <v>564</v>
      </c>
      <c r="V53">
        <v>43405</v>
      </c>
      <c r="W53" t="s">
        <v>1049</v>
      </c>
      <c r="X53" t="s">
        <v>1050</v>
      </c>
      <c r="Y53" t="s">
        <v>59</v>
      </c>
      <c r="Z53" t="s">
        <v>1051</v>
      </c>
      <c r="AA53" t="s">
        <v>249</v>
      </c>
      <c r="AB53" t="s">
        <v>1052</v>
      </c>
      <c r="AC53" t="s">
        <v>1053</v>
      </c>
      <c r="AD53" t="s">
        <v>71</v>
      </c>
      <c r="AE53">
        <v>226.8</v>
      </c>
      <c r="AF53">
        <v>103.1</v>
      </c>
      <c r="AG53" t="s">
        <v>100</v>
      </c>
      <c r="AH53">
        <v>183</v>
      </c>
      <c r="AI53" t="s">
        <v>1054</v>
      </c>
      <c r="AJ53">
        <v>49.231444000000003</v>
      </c>
      <c r="AK53">
        <v>-122.72723000000001</v>
      </c>
    </row>
    <row r="54" spans="1:37" x14ac:dyDescent="0.3">
      <c r="A54">
        <v>9242</v>
      </c>
      <c r="B54" t="s">
        <v>51</v>
      </c>
      <c r="C54" t="s">
        <v>52</v>
      </c>
      <c r="D54" t="s">
        <v>721</v>
      </c>
      <c r="E54" t="s">
        <v>12</v>
      </c>
      <c r="F54" t="s">
        <v>1055</v>
      </c>
      <c r="G54" t="s">
        <v>1056</v>
      </c>
      <c r="H54" t="s">
        <v>1</v>
      </c>
      <c r="I54" t="s">
        <v>55</v>
      </c>
      <c r="J54" t="s">
        <v>117</v>
      </c>
      <c r="K54" t="s">
        <v>56</v>
      </c>
      <c r="L54" t="s">
        <v>57</v>
      </c>
      <c r="M54" t="s">
        <v>1057</v>
      </c>
      <c r="N54" t="s">
        <v>1058</v>
      </c>
      <c r="O54" t="s">
        <v>1059</v>
      </c>
      <c r="P54" t="s">
        <v>1060</v>
      </c>
      <c r="Q54" t="s">
        <v>234</v>
      </c>
      <c r="R54">
        <v>23035</v>
      </c>
      <c r="S54" t="s">
        <v>58</v>
      </c>
      <c r="T54" s="6">
        <v>4485999057949250</v>
      </c>
      <c r="U54">
        <v>169</v>
      </c>
      <c r="V54">
        <v>42826</v>
      </c>
      <c r="W54" t="s">
        <v>1061</v>
      </c>
      <c r="X54" t="s">
        <v>1062</v>
      </c>
      <c r="Y54" t="s">
        <v>108</v>
      </c>
      <c r="Z54" t="s">
        <v>1063</v>
      </c>
      <c r="AA54" t="s">
        <v>1064</v>
      </c>
      <c r="AB54" t="s">
        <v>1065</v>
      </c>
      <c r="AC54" t="s">
        <v>1066</v>
      </c>
      <c r="AD54" t="s">
        <v>80</v>
      </c>
      <c r="AE54">
        <v>214.9</v>
      </c>
      <c r="AF54">
        <v>97.7</v>
      </c>
      <c r="AG54" t="s">
        <v>97</v>
      </c>
      <c r="AH54">
        <v>173</v>
      </c>
      <c r="AI54" t="s">
        <v>1067</v>
      </c>
      <c r="AJ54">
        <v>49.121057</v>
      </c>
      <c r="AK54">
        <v>-122.832877</v>
      </c>
    </row>
    <row r="55" spans="1:37" x14ac:dyDescent="0.3">
      <c r="A55">
        <v>9271</v>
      </c>
      <c r="B55" t="s">
        <v>51</v>
      </c>
      <c r="C55" t="s">
        <v>52</v>
      </c>
      <c r="D55" t="s">
        <v>82</v>
      </c>
      <c r="E55" t="s">
        <v>174</v>
      </c>
      <c r="F55" t="s">
        <v>1068</v>
      </c>
      <c r="G55" t="s">
        <v>1069</v>
      </c>
      <c r="H55" t="s">
        <v>1</v>
      </c>
      <c r="I55" t="s">
        <v>55</v>
      </c>
      <c r="J55" t="s">
        <v>147</v>
      </c>
      <c r="K55" t="s">
        <v>56</v>
      </c>
      <c r="L55" t="s">
        <v>57</v>
      </c>
      <c r="M55" t="s">
        <v>1070</v>
      </c>
      <c r="N55" t="s">
        <v>1071</v>
      </c>
      <c r="O55" t="s">
        <v>1072</v>
      </c>
      <c r="P55" t="s">
        <v>1073</v>
      </c>
      <c r="Q55" t="s">
        <v>1074</v>
      </c>
      <c r="R55">
        <v>33491</v>
      </c>
      <c r="S55" t="s">
        <v>58</v>
      </c>
      <c r="T55" s="6">
        <v>4539955208670940</v>
      </c>
      <c r="U55">
        <v>49</v>
      </c>
      <c r="V55">
        <v>42675</v>
      </c>
      <c r="W55" t="s">
        <v>1075</v>
      </c>
      <c r="X55" t="s">
        <v>1076</v>
      </c>
      <c r="Y55" t="s">
        <v>125</v>
      </c>
      <c r="Z55" t="s">
        <v>1077</v>
      </c>
      <c r="AA55" t="s">
        <v>1078</v>
      </c>
      <c r="AB55" t="s">
        <v>248</v>
      </c>
      <c r="AC55" t="s">
        <v>1079</v>
      </c>
      <c r="AD55" t="s">
        <v>80</v>
      </c>
      <c r="AE55">
        <v>206.4</v>
      </c>
      <c r="AF55">
        <v>93.8</v>
      </c>
      <c r="AG55" t="s">
        <v>111</v>
      </c>
      <c r="AH55">
        <v>179</v>
      </c>
      <c r="AI55" t="s">
        <v>1080</v>
      </c>
      <c r="AJ55">
        <v>49.126784000000001</v>
      </c>
      <c r="AK55">
        <v>-122.91549500000001</v>
      </c>
    </row>
    <row r="56" spans="1:37" x14ac:dyDescent="0.3">
      <c r="A56">
        <v>9285</v>
      </c>
      <c r="B56" t="s">
        <v>51</v>
      </c>
      <c r="C56" t="s">
        <v>52</v>
      </c>
      <c r="D56" t="s">
        <v>237</v>
      </c>
      <c r="E56" t="s">
        <v>53</v>
      </c>
      <c r="F56" t="s">
        <v>1081</v>
      </c>
      <c r="G56" t="s">
        <v>1082</v>
      </c>
      <c r="H56" t="s">
        <v>1</v>
      </c>
      <c r="I56" t="s">
        <v>55</v>
      </c>
      <c r="J56" t="s">
        <v>416</v>
      </c>
      <c r="K56" t="s">
        <v>56</v>
      </c>
      <c r="L56" t="s">
        <v>57</v>
      </c>
      <c r="M56" t="s">
        <v>1083</v>
      </c>
      <c r="N56" t="s">
        <v>1084</v>
      </c>
      <c r="O56" t="s">
        <v>1085</v>
      </c>
      <c r="P56" t="s">
        <v>1086</v>
      </c>
      <c r="Q56" t="s">
        <v>161</v>
      </c>
      <c r="R56">
        <v>25301</v>
      </c>
      <c r="S56" t="s">
        <v>58</v>
      </c>
      <c r="T56" s="6">
        <v>4916969231680080</v>
      </c>
      <c r="U56">
        <v>584</v>
      </c>
      <c r="V56">
        <v>43435</v>
      </c>
      <c r="W56" t="s">
        <v>1087</v>
      </c>
      <c r="X56" t="s">
        <v>1088</v>
      </c>
      <c r="Y56" t="s">
        <v>59</v>
      </c>
      <c r="Z56" t="s">
        <v>1089</v>
      </c>
      <c r="AA56" t="s">
        <v>1090</v>
      </c>
      <c r="AB56" t="s">
        <v>1091</v>
      </c>
      <c r="AC56" t="s">
        <v>1092</v>
      </c>
      <c r="AD56" t="s">
        <v>67</v>
      </c>
      <c r="AE56">
        <v>140.80000000000001</v>
      </c>
      <c r="AF56">
        <v>64</v>
      </c>
      <c r="AG56" t="s">
        <v>100</v>
      </c>
      <c r="AH56">
        <v>184</v>
      </c>
      <c r="AI56" t="s">
        <v>1093</v>
      </c>
      <c r="AJ56">
        <v>49.099471000000001</v>
      </c>
      <c r="AK56">
        <v>-122.918812</v>
      </c>
    </row>
    <row r="57" spans="1:37" x14ac:dyDescent="0.3">
      <c r="A57">
        <v>9479</v>
      </c>
      <c r="B57" t="s">
        <v>51</v>
      </c>
      <c r="C57" t="s">
        <v>52</v>
      </c>
      <c r="D57" t="s">
        <v>231</v>
      </c>
      <c r="E57" t="s">
        <v>90</v>
      </c>
      <c r="F57" t="s">
        <v>1094</v>
      </c>
      <c r="G57" t="s">
        <v>1095</v>
      </c>
      <c r="H57" t="s">
        <v>1</v>
      </c>
      <c r="I57" t="s">
        <v>55</v>
      </c>
      <c r="J57" t="s">
        <v>117</v>
      </c>
      <c r="K57" t="s">
        <v>56</v>
      </c>
      <c r="L57" t="s">
        <v>57</v>
      </c>
      <c r="M57" t="s">
        <v>1096</v>
      </c>
      <c r="N57" t="s">
        <v>1097</v>
      </c>
      <c r="O57" t="s">
        <v>1098</v>
      </c>
      <c r="P57" t="s">
        <v>1099</v>
      </c>
      <c r="Q57" t="s">
        <v>1100</v>
      </c>
      <c r="R57">
        <v>27708</v>
      </c>
      <c r="S57" t="s">
        <v>65</v>
      </c>
      <c r="T57" s="6">
        <v>5507940036927880</v>
      </c>
      <c r="U57">
        <v>45</v>
      </c>
      <c r="V57">
        <v>42461</v>
      </c>
      <c r="W57" t="s">
        <v>1101</v>
      </c>
      <c r="X57" t="s">
        <v>1102</v>
      </c>
      <c r="Y57" t="s">
        <v>108</v>
      </c>
      <c r="Z57" t="s">
        <v>1103</v>
      </c>
      <c r="AA57" t="s">
        <v>1104</v>
      </c>
      <c r="AB57" t="s">
        <v>1105</v>
      </c>
      <c r="AC57" t="s">
        <v>1106</v>
      </c>
      <c r="AD57" t="s">
        <v>71</v>
      </c>
      <c r="AE57">
        <v>162.80000000000001</v>
      </c>
      <c r="AF57">
        <v>74</v>
      </c>
      <c r="AG57" t="s">
        <v>172</v>
      </c>
      <c r="AH57">
        <v>188</v>
      </c>
      <c r="AI57" t="s">
        <v>1107</v>
      </c>
      <c r="AJ57">
        <v>49.203975</v>
      </c>
      <c r="AK57">
        <v>-122.87499099999999</v>
      </c>
    </row>
    <row r="58" spans="1:37" x14ac:dyDescent="0.3">
      <c r="A58">
        <v>9530</v>
      </c>
      <c r="B58" t="s">
        <v>61</v>
      </c>
      <c r="C58" t="s">
        <v>62</v>
      </c>
      <c r="D58" t="s">
        <v>1108</v>
      </c>
      <c r="E58" t="s">
        <v>53</v>
      </c>
      <c r="F58" t="s">
        <v>1109</v>
      </c>
      <c r="G58" t="s">
        <v>1110</v>
      </c>
      <c r="H58" t="s">
        <v>1</v>
      </c>
      <c r="I58" t="s">
        <v>55</v>
      </c>
      <c r="J58" t="s">
        <v>147</v>
      </c>
      <c r="K58" t="s">
        <v>56</v>
      </c>
      <c r="L58" t="s">
        <v>57</v>
      </c>
      <c r="M58" t="s">
        <v>1111</v>
      </c>
      <c r="N58" t="s">
        <v>1112</v>
      </c>
      <c r="O58" t="s">
        <v>1113</v>
      </c>
      <c r="P58" t="s">
        <v>1114</v>
      </c>
      <c r="Q58" t="s">
        <v>1115</v>
      </c>
      <c r="R58">
        <v>15155</v>
      </c>
      <c r="S58" t="s">
        <v>65</v>
      </c>
      <c r="T58" s="6">
        <v>5454152056175540</v>
      </c>
      <c r="U58">
        <v>243</v>
      </c>
      <c r="V58">
        <v>42644</v>
      </c>
      <c r="W58" t="s">
        <v>1116</v>
      </c>
      <c r="X58" t="s">
        <v>1117</v>
      </c>
      <c r="Y58" t="s">
        <v>59</v>
      </c>
      <c r="Z58" t="s">
        <v>1118</v>
      </c>
      <c r="AA58" t="s">
        <v>1119</v>
      </c>
      <c r="AB58" t="s">
        <v>1120</v>
      </c>
      <c r="AC58" t="s">
        <v>1121</v>
      </c>
      <c r="AD58" t="s">
        <v>80</v>
      </c>
      <c r="AE58">
        <v>182.2</v>
      </c>
      <c r="AF58">
        <v>82.8</v>
      </c>
      <c r="AG58" t="s">
        <v>104</v>
      </c>
      <c r="AH58">
        <v>169</v>
      </c>
      <c r="AI58" t="s">
        <v>1122</v>
      </c>
      <c r="AJ58">
        <v>49.094428000000001</v>
      </c>
      <c r="AK58">
        <v>-122.808025</v>
      </c>
    </row>
    <row r="59" spans="1:37" x14ac:dyDescent="0.3">
      <c r="A59">
        <v>9726</v>
      </c>
      <c r="B59" t="s">
        <v>61</v>
      </c>
      <c r="C59" t="s">
        <v>62</v>
      </c>
      <c r="D59" t="s">
        <v>240</v>
      </c>
      <c r="E59" t="s">
        <v>204</v>
      </c>
      <c r="F59" t="s">
        <v>1123</v>
      </c>
      <c r="G59" t="s">
        <v>1124</v>
      </c>
      <c r="H59" t="s">
        <v>1</v>
      </c>
      <c r="I59" t="s">
        <v>55</v>
      </c>
      <c r="J59" t="s">
        <v>147</v>
      </c>
      <c r="K59" t="s">
        <v>56</v>
      </c>
      <c r="L59" t="s">
        <v>57</v>
      </c>
      <c r="M59" t="s">
        <v>1125</v>
      </c>
      <c r="N59" t="s">
        <v>1126</v>
      </c>
      <c r="O59" t="s">
        <v>1127</v>
      </c>
      <c r="P59" t="s">
        <v>1128</v>
      </c>
      <c r="Q59" t="s">
        <v>1129</v>
      </c>
      <c r="R59">
        <v>17825</v>
      </c>
      <c r="S59" t="s">
        <v>65</v>
      </c>
      <c r="T59" s="6">
        <v>5293177627194740</v>
      </c>
      <c r="U59">
        <v>661</v>
      </c>
      <c r="V59">
        <v>42856</v>
      </c>
      <c r="W59" t="s">
        <v>1130</v>
      </c>
      <c r="X59" t="s">
        <v>1131</v>
      </c>
      <c r="Y59" t="s">
        <v>59</v>
      </c>
      <c r="Z59" t="s">
        <v>1132</v>
      </c>
      <c r="AA59" t="s">
        <v>1133</v>
      </c>
      <c r="AB59" t="s">
        <v>239</v>
      </c>
      <c r="AC59" t="s">
        <v>1134</v>
      </c>
      <c r="AD59" t="s">
        <v>60</v>
      </c>
      <c r="AE59">
        <v>112.9</v>
      </c>
      <c r="AF59">
        <v>51.3</v>
      </c>
      <c r="AG59" t="s">
        <v>68</v>
      </c>
      <c r="AH59">
        <v>155</v>
      </c>
      <c r="AI59" t="s">
        <v>1135</v>
      </c>
      <c r="AJ59">
        <v>49.124088999999998</v>
      </c>
      <c r="AK59">
        <v>-122.91246599999999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5EC96-599F-4F44-8410-CEB635637743}">
  <dimension ref="A1:A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4.21875" bestFit="1" customWidth="1"/>
  </cols>
  <sheetData>
    <row r="1" spans="1:1" x14ac:dyDescent="0.3">
      <c r="A1" t="s">
        <v>1198</v>
      </c>
    </row>
    <row r="2" spans="1:1" x14ac:dyDescent="0.3">
      <c r="A2" t="s">
        <v>1160</v>
      </c>
    </row>
    <row r="3" spans="1:1" x14ac:dyDescent="0.3">
      <c r="A3" t="s">
        <v>1161</v>
      </c>
    </row>
    <row r="4" spans="1:1" x14ac:dyDescent="0.3">
      <c r="A4" t="s">
        <v>1162</v>
      </c>
    </row>
    <row r="5" spans="1:1" x14ac:dyDescent="0.3">
      <c r="A5" t="s">
        <v>1164</v>
      </c>
    </row>
    <row r="6" spans="1:1" x14ac:dyDescent="0.3">
      <c r="A6" t="s">
        <v>1163</v>
      </c>
    </row>
    <row r="7" spans="1:1" x14ac:dyDescent="0.3">
      <c r="A7" t="s">
        <v>1165</v>
      </c>
    </row>
    <row r="8" spans="1:1" x14ac:dyDescent="0.3">
      <c r="A8" t="s">
        <v>1166</v>
      </c>
    </row>
    <row r="9" spans="1:1" x14ac:dyDescent="0.3">
      <c r="A9" t="s">
        <v>1167</v>
      </c>
    </row>
    <row r="10" spans="1:1" x14ac:dyDescent="0.3">
      <c r="A10" t="s">
        <v>1168</v>
      </c>
    </row>
    <row r="11" spans="1:1" x14ac:dyDescent="0.3">
      <c r="A11" t="s">
        <v>1169</v>
      </c>
    </row>
    <row r="12" spans="1:1" x14ac:dyDescent="0.3">
      <c r="A12" t="s">
        <v>1170</v>
      </c>
    </row>
    <row r="13" spans="1:1" x14ac:dyDescent="0.3">
      <c r="A13" t="s">
        <v>1171</v>
      </c>
    </row>
    <row r="14" spans="1:1" x14ac:dyDescent="0.3">
      <c r="A14" t="s">
        <v>1172</v>
      </c>
    </row>
    <row r="15" spans="1:1" x14ac:dyDescent="0.3">
      <c r="A15" t="s">
        <v>1173</v>
      </c>
    </row>
    <row r="16" spans="1:1" x14ac:dyDescent="0.3">
      <c r="A16" t="s">
        <v>1174</v>
      </c>
    </row>
    <row r="17" spans="1:1" x14ac:dyDescent="0.3">
      <c r="A17" t="s">
        <v>1175</v>
      </c>
    </row>
    <row r="18" spans="1:1" x14ac:dyDescent="0.3">
      <c r="A18" t="s">
        <v>1176</v>
      </c>
    </row>
    <row r="19" spans="1:1" x14ac:dyDescent="0.3">
      <c r="A19" t="s">
        <v>1177</v>
      </c>
    </row>
    <row r="20" spans="1:1" x14ac:dyDescent="0.3">
      <c r="A20" t="s">
        <v>1178</v>
      </c>
    </row>
    <row r="21" spans="1:1" x14ac:dyDescent="0.3">
      <c r="A21" t="s">
        <v>1179</v>
      </c>
    </row>
    <row r="22" spans="1:1" x14ac:dyDescent="0.3">
      <c r="A22" t="s">
        <v>1180</v>
      </c>
    </row>
    <row r="23" spans="1:1" x14ac:dyDescent="0.3">
      <c r="A23" t="s">
        <v>1181</v>
      </c>
    </row>
    <row r="24" spans="1:1" x14ac:dyDescent="0.3">
      <c r="A24" t="s">
        <v>1182</v>
      </c>
    </row>
    <row r="25" spans="1:1" x14ac:dyDescent="0.3">
      <c r="A25" t="s">
        <v>1183</v>
      </c>
    </row>
    <row r="26" spans="1:1" x14ac:dyDescent="0.3">
      <c r="A26" t="s">
        <v>1184</v>
      </c>
    </row>
    <row r="27" spans="1:1" x14ac:dyDescent="0.3">
      <c r="A27" t="s">
        <v>1185</v>
      </c>
    </row>
    <row r="28" spans="1:1" x14ac:dyDescent="0.3">
      <c r="A28" t="s">
        <v>1186</v>
      </c>
    </row>
    <row r="29" spans="1:1" x14ac:dyDescent="0.3">
      <c r="A29" t="s">
        <v>1187</v>
      </c>
    </row>
    <row r="30" spans="1:1" x14ac:dyDescent="0.3">
      <c r="A30" t="s">
        <v>1188</v>
      </c>
    </row>
    <row r="31" spans="1:1" x14ac:dyDescent="0.3">
      <c r="A31" t="s">
        <v>1189</v>
      </c>
    </row>
    <row r="32" spans="1:1" x14ac:dyDescent="0.3">
      <c r="A32" t="s">
        <v>1190</v>
      </c>
    </row>
    <row r="33" spans="1:1" x14ac:dyDescent="0.3">
      <c r="A33" t="s">
        <v>1191</v>
      </c>
    </row>
    <row r="34" spans="1:1" x14ac:dyDescent="0.3">
      <c r="A34" t="s">
        <v>1192</v>
      </c>
    </row>
    <row r="35" spans="1:1" x14ac:dyDescent="0.3">
      <c r="A35" t="s">
        <v>1193</v>
      </c>
    </row>
    <row r="36" spans="1:1" x14ac:dyDescent="0.3">
      <c r="A36" t="s">
        <v>1194</v>
      </c>
    </row>
    <row r="37" spans="1:1" x14ac:dyDescent="0.3">
      <c r="A37" t="s">
        <v>1195</v>
      </c>
    </row>
    <row r="38" spans="1:1" x14ac:dyDescent="0.3">
      <c r="A38" t="s">
        <v>1196</v>
      </c>
    </row>
    <row r="39" spans="1:1" x14ac:dyDescent="0.3">
      <c r="A39" t="s">
        <v>1197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54E4C-7A4B-44E0-8FA3-046916FF2304}">
  <dimension ref="A1:G5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" style="7" bestFit="1" customWidth="1"/>
    <col min="2" max="2" width="20.88671875" bestFit="1" customWidth="1"/>
    <col min="3" max="3" width="24.21875" bestFit="1" customWidth="1"/>
    <col min="4" max="4" width="23.109375" bestFit="1" customWidth="1"/>
    <col min="5" max="5" width="23.33203125" bestFit="1" customWidth="1"/>
    <col min="6" max="6" width="21" bestFit="1" customWidth="1"/>
    <col min="7" max="7" width="26" bestFit="1" customWidth="1"/>
  </cols>
  <sheetData>
    <row r="1" spans="1:7" s="2" customFormat="1" x14ac:dyDescent="0.3">
      <c r="A1" s="8" t="s">
        <v>3</v>
      </c>
      <c r="B1" s="2" t="s">
        <v>1200</v>
      </c>
      <c r="C1" s="2" t="s">
        <v>1201</v>
      </c>
      <c r="D1" s="2" t="s">
        <v>1202</v>
      </c>
      <c r="E1" s="2" t="s">
        <v>1203</v>
      </c>
      <c r="F1" s="2" t="s">
        <v>0</v>
      </c>
      <c r="G1" s="2" t="s">
        <v>1204</v>
      </c>
    </row>
    <row r="2" spans="1:7" x14ac:dyDescent="0.3">
      <c r="A2" s="7">
        <v>1</v>
      </c>
      <c r="B2" t="str">
        <f>"rg:dataset('"&amp;B$1&amp;".csv','"&amp;$A2&amp;"')"</f>
        <v>rg:dataset('Reg.csv','1')</v>
      </c>
      <c r="C2" t="str">
        <f t="shared" ref="C2:G17" si="0">"rg:dataset('"&amp;C$1&amp;".csv','"&amp;$A2&amp;"')"</f>
        <v>rg:dataset('Finance.csv','1')</v>
      </c>
      <c r="D2" t="str">
        <f t="shared" si="0"/>
        <v>rg:dataset('Liquor.csv','1')</v>
      </c>
      <c r="E2" t="str">
        <f t="shared" si="0"/>
        <v>rg:dataset('Health.csv','1')</v>
      </c>
      <c r="F2" t="str">
        <f t="shared" si="0"/>
        <v>rg:dataset('City.csv','1')</v>
      </c>
      <c r="G2" t="str">
        <f t="shared" si="0"/>
        <v>rg:dataset('Worksafe.csv','1')</v>
      </c>
    </row>
    <row r="3" spans="1:7" x14ac:dyDescent="0.3">
      <c r="A3" s="7">
        <v>2</v>
      </c>
      <c r="B3" t="str">
        <f t="shared" ref="B3:G34" si="1">"rg:dataset('"&amp;B$1&amp;".csv','"&amp;$A3&amp;"')"</f>
        <v>rg:dataset('Reg.csv','2')</v>
      </c>
      <c r="C3" t="str">
        <f t="shared" si="0"/>
        <v>rg:dataset('Finance.csv','2')</v>
      </c>
      <c r="D3" t="str">
        <f t="shared" si="0"/>
        <v>rg:dataset('Liquor.csv','2')</v>
      </c>
      <c r="E3" t="str">
        <f t="shared" si="0"/>
        <v>rg:dataset('Health.csv','2')</v>
      </c>
      <c r="F3" t="str">
        <f t="shared" si="0"/>
        <v>rg:dataset('City.csv','2')</v>
      </c>
      <c r="G3" t="str">
        <f t="shared" si="0"/>
        <v>rg:dataset('Worksafe.csv','2')</v>
      </c>
    </row>
    <row r="4" spans="1:7" x14ac:dyDescent="0.3">
      <c r="A4" s="7">
        <v>3</v>
      </c>
      <c r="B4" t="str">
        <f t="shared" si="1"/>
        <v>rg:dataset('Reg.csv','3')</v>
      </c>
      <c r="C4" t="str">
        <f t="shared" si="0"/>
        <v>rg:dataset('Finance.csv','3')</v>
      </c>
      <c r="D4" t="str">
        <f t="shared" si="0"/>
        <v>rg:dataset('Liquor.csv','3')</v>
      </c>
      <c r="E4" t="str">
        <f t="shared" si="0"/>
        <v>rg:dataset('Health.csv','3')</v>
      </c>
      <c r="F4" t="str">
        <f t="shared" si="0"/>
        <v>rg:dataset('City.csv','3')</v>
      </c>
      <c r="G4" t="str">
        <f t="shared" si="0"/>
        <v>rg:dataset('Worksafe.csv','3')</v>
      </c>
    </row>
    <row r="5" spans="1:7" x14ac:dyDescent="0.3">
      <c r="A5" s="7">
        <v>4</v>
      </c>
      <c r="B5" t="str">
        <f t="shared" si="1"/>
        <v>rg:dataset('Reg.csv','4')</v>
      </c>
      <c r="C5" t="str">
        <f t="shared" si="0"/>
        <v>rg:dataset('Finance.csv','4')</v>
      </c>
      <c r="D5" t="str">
        <f t="shared" si="0"/>
        <v>rg:dataset('Liquor.csv','4')</v>
      </c>
      <c r="E5" t="str">
        <f t="shared" si="0"/>
        <v>rg:dataset('Health.csv','4')</v>
      </c>
      <c r="F5" t="str">
        <f t="shared" si="0"/>
        <v>rg:dataset('City.csv','4')</v>
      </c>
      <c r="G5" t="str">
        <f t="shared" si="0"/>
        <v>rg:dataset('Worksafe.csv','4')</v>
      </c>
    </row>
    <row r="6" spans="1:7" x14ac:dyDescent="0.3">
      <c r="A6" s="7">
        <v>5</v>
      </c>
      <c r="B6" t="str">
        <f t="shared" si="1"/>
        <v>rg:dataset('Reg.csv','5')</v>
      </c>
      <c r="C6" t="str">
        <f t="shared" si="0"/>
        <v>rg:dataset('Finance.csv','5')</v>
      </c>
      <c r="D6" t="str">
        <f t="shared" si="0"/>
        <v>rg:dataset('Liquor.csv','5')</v>
      </c>
      <c r="E6" t="str">
        <f t="shared" si="0"/>
        <v>rg:dataset('Health.csv','5')</v>
      </c>
      <c r="F6" t="str">
        <f t="shared" si="0"/>
        <v>rg:dataset('City.csv','5')</v>
      </c>
      <c r="G6" t="str">
        <f t="shared" si="0"/>
        <v>rg:dataset('Worksafe.csv','5')</v>
      </c>
    </row>
    <row r="7" spans="1:7" x14ac:dyDescent="0.3">
      <c r="A7" s="7">
        <v>6</v>
      </c>
      <c r="B7" t="str">
        <f t="shared" si="1"/>
        <v>rg:dataset('Reg.csv','6')</v>
      </c>
      <c r="C7" t="str">
        <f t="shared" si="0"/>
        <v>rg:dataset('Finance.csv','6')</v>
      </c>
      <c r="D7" t="str">
        <f t="shared" si="0"/>
        <v>rg:dataset('Liquor.csv','6')</v>
      </c>
      <c r="E7" t="str">
        <f t="shared" si="0"/>
        <v>rg:dataset('Health.csv','6')</v>
      </c>
      <c r="F7" t="str">
        <f t="shared" si="0"/>
        <v>rg:dataset('City.csv','6')</v>
      </c>
      <c r="G7" t="str">
        <f t="shared" si="0"/>
        <v>rg:dataset('Worksafe.csv','6')</v>
      </c>
    </row>
    <row r="8" spans="1:7" x14ac:dyDescent="0.3">
      <c r="A8" s="7">
        <v>7</v>
      </c>
      <c r="B8" t="str">
        <f t="shared" si="1"/>
        <v>rg:dataset('Reg.csv','7')</v>
      </c>
      <c r="C8" t="str">
        <f t="shared" si="0"/>
        <v>rg:dataset('Finance.csv','7')</v>
      </c>
      <c r="D8" t="str">
        <f t="shared" si="0"/>
        <v>rg:dataset('Liquor.csv','7')</v>
      </c>
      <c r="E8" t="str">
        <f t="shared" si="0"/>
        <v>rg:dataset('Health.csv','7')</v>
      </c>
      <c r="F8" t="str">
        <f t="shared" si="0"/>
        <v>rg:dataset('City.csv','7')</v>
      </c>
      <c r="G8" t="str">
        <f t="shared" si="0"/>
        <v>rg:dataset('Worksafe.csv','7')</v>
      </c>
    </row>
    <row r="9" spans="1:7" x14ac:dyDescent="0.3">
      <c r="A9" s="7">
        <v>8</v>
      </c>
      <c r="B9" t="str">
        <f t="shared" si="1"/>
        <v>rg:dataset('Reg.csv','8')</v>
      </c>
      <c r="C9" t="str">
        <f t="shared" si="0"/>
        <v>rg:dataset('Finance.csv','8')</v>
      </c>
      <c r="D9" t="str">
        <f t="shared" si="0"/>
        <v>rg:dataset('Liquor.csv','8')</v>
      </c>
      <c r="E9" t="str">
        <f t="shared" si="0"/>
        <v>rg:dataset('Health.csv','8')</v>
      </c>
      <c r="F9" t="str">
        <f t="shared" si="0"/>
        <v>rg:dataset('City.csv','8')</v>
      </c>
      <c r="G9" t="str">
        <f t="shared" si="0"/>
        <v>rg:dataset('Worksafe.csv','8')</v>
      </c>
    </row>
    <row r="10" spans="1:7" x14ac:dyDescent="0.3">
      <c r="A10" s="7">
        <v>9</v>
      </c>
      <c r="B10" t="str">
        <f t="shared" si="1"/>
        <v>rg:dataset('Reg.csv','9')</v>
      </c>
      <c r="C10" t="str">
        <f t="shared" si="0"/>
        <v>rg:dataset('Finance.csv','9')</v>
      </c>
      <c r="D10" t="str">
        <f t="shared" si="0"/>
        <v>rg:dataset('Liquor.csv','9')</v>
      </c>
      <c r="E10" t="str">
        <f t="shared" si="0"/>
        <v>rg:dataset('Health.csv','9')</v>
      </c>
      <c r="F10" t="str">
        <f t="shared" si="0"/>
        <v>rg:dataset('City.csv','9')</v>
      </c>
      <c r="G10" t="str">
        <f t="shared" si="0"/>
        <v>rg:dataset('Worksafe.csv','9')</v>
      </c>
    </row>
    <row r="11" spans="1:7" x14ac:dyDescent="0.3">
      <c r="A11" s="7">
        <v>10</v>
      </c>
      <c r="B11" t="str">
        <f t="shared" si="1"/>
        <v>rg:dataset('Reg.csv','10')</v>
      </c>
      <c r="C11" t="str">
        <f t="shared" si="0"/>
        <v>rg:dataset('Finance.csv','10')</v>
      </c>
      <c r="D11" t="str">
        <f t="shared" si="0"/>
        <v>rg:dataset('Liquor.csv','10')</v>
      </c>
      <c r="E11" t="str">
        <f t="shared" si="0"/>
        <v>rg:dataset('Health.csv','10')</v>
      </c>
      <c r="F11" t="str">
        <f t="shared" si="0"/>
        <v>rg:dataset('City.csv','10')</v>
      </c>
      <c r="G11" t="str">
        <f t="shared" si="0"/>
        <v>rg:dataset('Worksafe.csv','10')</v>
      </c>
    </row>
    <row r="12" spans="1:7" x14ac:dyDescent="0.3">
      <c r="A12" s="7">
        <v>11</v>
      </c>
      <c r="B12" t="str">
        <f t="shared" si="1"/>
        <v>rg:dataset('Reg.csv','11')</v>
      </c>
      <c r="C12" t="str">
        <f t="shared" si="0"/>
        <v>rg:dataset('Finance.csv','11')</v>
      </c>
      <c r="D12" t="str">
        <f t="shared" si="0"/>
        <v>rg:dataset('Liquor.csv','11')</v>
      </c>
      <c r="E12" t="str">
        <f t="shared" si="0"/>
        <v>rg:dataset('Health.csv','11')</v>
      </c>
      <c r="F12" t="str">
        <f t="shared" si="0"/>
        <v>rg:dataset('City.csv','11')</v>
      </c>
      <c r="G12" t="str">
        <f t="shared" si="0"/>
        <v>rg:dataset('Worksafe.csv','11')</v>
      </c>
    </row>
    <row r="13" spans="1:7" x14ac:dyDescent="0.3">
      <c r="A13" s="7">
        <v>12</v>
      </c>
      <c r="B13" t="str">
        <f t="shared" si="1"/>
        <v>rg:dataset('Reg.csv','12')</v>
      </c>
      <c r="C13" t="str">
        <f t="shared" si="0"/>
        <v>rg:dataset('Finance.csv','12')</v>
      </c>
      <c r="D13" t="str">
        <f t="shared" si="0"/>
        <v>rg:dataset('Liquor.csv','12')</v>
      </c>
      <c r="E13" t="str">
        <f t="shared" si="0"/>
        <v>rg:dataset('Health.csv','12')</v>
      </c>
      <c r="F13" t="str">
        <f t="shared" si="0"/>
        <v>rg:dataset('City.csv','12')</v>
      </c>
      <c r="G13" t="str">
        <f t="shared" si="0"/>
        <v>rg:dataset('Worksafe.csv','12')</v>
      </c>
    </row>
    <row r="14" spans="1:7" x14ac:dyDescent="0.3">
      <c r="A14" s="7">
        <v>13</v>
      </c>
      <c r="B14" t="str">
        <f t="shared" si="1"/>
        <v>rg:dataset('Reg.csv','13')</v>
      </c>
      <c r="C14" t="str">
        <f t="shared" si="0"/>
        <v>rg:dataset('Finance.csv','13')</v>
      </c>
      <c r="D14" t="str">
        <f t="shared" si="0"/>
        <v>rg:dataset('Liquor.csv','13')</v>
      </c>
      <c r="E14" t="str">
        <f t="shared" si="0"/>
        <v>rg:dataset('Health.csv','13')</v>
      </c>
      <c r="F14" t="str">
        <f t="shared" si="0"/>
        <v>rg:dataset('City.csv','13')</v>
      </c>
      <c r="G14" t="str">
        <f t="shared" si="0"/>
        <v>rg:dataset('Worksafe.csv','13')</v>
      </c>
    </row>
    <row r="15" spans="1:7" x14ac:dyDescent="0.3">
      <c r="A15" s="7">
        <v>14</v>
      </c>
      <c r="B15" t="str">
        <f t="shared" si="1"/>
        <v>rg:dataset('Reg.csv','14')</v>
      </c>
      <c r="C15" t="str">
        <f t="shared" si="0"/>
        <v>rg:dataset('Finance.csv','14')</v>
      </c>
      <c r="D15" t="str">
        <f t="shared" si="0"/>
        <v>rg:dataset('Liquor.csv','14')</v>
      </c>
      <c r="E15" t="str">
        <f t="shared" si="0"/>
        <v>rg:dataset('Health.csv','14')</v>
      </c>
      <c r="F15" t="str">
        <f t="shared" si="0"/>
        <v>rg:dataset('City.csv','14')</v>
      </c>
      <c r="G15" t="str">
        <f t="shared" si="0"/>
        <v>rg:dataset('Worksafe.csv','14')</v>
      </c>
    </row>
    <row r="16" spans="1:7" x14ac:dyDescent="0.3">
      <c r="A16" s="7">
        <v>15</v>
      </c>
      <c r="B16" t="str">
        <f t="shared" si="1"/>
        <v>rg:dataset('Reg.csv','15')</v>
      </c>
      <c r="C16" t="str">
        <f t="shared" si="0"/>
        <v>rg:dataset('Finance.csv','15')</v>
      </c>
      <c r="D16" t="str">
        <f t="shared" si="0"/>
        <v>rg:dataset('Liquor.csv','15')</v>
      </c>
      <c r="E16" t="str">
        <f t="shared" si="0"/>
        <v>rg:dataset('Health.csv','15')</v>
      </c>
      <c r="F16" t="str">
        <f t="shared" si="0"/>
        <v>rg:dataset('City.csv','15')</v>
      </c>
      <c r="G16" t="str">
        <f t="shared" si="0"/>
        <v>rg:dataset('Worksafe.csv','15')</v>
      </c>
    </row>
    <row r="17" spans="1:7" x14ac:dyDescent="0.3">
      <c r="A17" s="7">
        <v>16</v>
      </c>
      <c r="B17" t="str">
        <f t="shared" si="1"/>
        <v>rg:dataset('Reg.csv','16')</v>
      </c>
      <c r="C17" t="str">
        <f t="shared" si="0"/>
        <v>rg:dataset('Finance.csv','16')</v>
      </c>
      <c r="D17" t="str">
        <f t="shared" si="0"/>
        <v>rg:dataset('Liquor.csv','16')</v>
      </c>
      <c r="E17" t="str">
        <f t="shared" si="0"/>
        <v>rg:dataset('Health.csv','16')</v>
      </c>
      <c r="F17" t="str">
        <f t="shared" si="0"/>
        <v>rg:dataset('City.csv','16')</v>
      </c>
      <c r="G17" t="str">
        <f t="shared" si="0"/>
        <v>rg:dataset('Worksafe.csv','16')</v>
      </c>
    </row>
    <row r="18" spans="1:7" x14ac:dyDescent="0.3">
      <c r="A18" s="7">
        <v>17</v>
      </c>
      <c r="B18" t="str">
        <f t="shared" si="1"/>
        <v>rg:dataset('Reg.csv','17')</v>
      </c>
      <c r="C18" t="str">
        <f t="shared" si="1"/>
        <v>rg:dataset('Finance.csv','17')</v>
      </c>
      <c r="D18" t="str">
        <f t="shared" si="1"/>
        <v>rg:dataset('Liquor.csv','17')</v>
      </c>
      <c r="E18" t="str">
        <f t="shared" si="1"/>
        <v>rg:dataset('Health.csv','17')</v>
      </c>
      <c r="F18" t="str">
        <f t="shared" si="1"/>
        <v>rg:dataset('City.csv','17')</v>
      </c>
      <c r="G18" t="str">
        <f t="shared" si="1"/>
        <v>rg:dataset('Worksafe.csv','17')</v>
      </c>
    </row>
    <row r="19" spans="1:7" x14ac:dyDescent="0.3">
      <c r="A19" s="7">
        <v>18</v>
      </c>
      <c r="B19" t="str">
        <f t="shared" si="1"/>
        <v>rg:dataset('Reg.csv','18')</v>
      </c>
      <c r="C19" t="str">
        <f t="shared" si="1"/>
        <v>rg:dataset('Finance.csv','18')</v>
      </c>
      <c r="D19" t="str">
        <f t="shared" si="1"/>
        <v>rg:dataset('Liquor.csv','18')</v>
      </c>
      <c r="E19" t="str">
        <f t="shared" si="1"/>
        <v>rg:dataset('Health.csv','18')</v>
      </c>
      <c r="F19" t="str">
        <f t="shared" si="1"/>
        <v>rg:dataset('City.csv','18')</v>
      </c>
      <c r="G19" t="str">
        <f t="shared" si="1"/>
        <v>rg:dataset('Worksafe.csv','18')</v>
      </c>
    </row>
    <row r="20" spans="1:7" x14ac:dyDescent="0.3">
      <c r="A20" s="7">
        <v>19</v>
      </c>
      <c r="B20" t="str">
        <f t="shared" si="1"/>
        <v>rg:dataset('Reg.csv','19')</v>
      </c>
      <c r="C20" t="str">
        <f t="shared" si="1"/>
        <v>rg:dataset('Finance.csv','19')</v>
      </c>
      <c r="D20" t="str">
        <f t="shared" si="1"/>
        <v>rg:dataset('Liquor.csv','19')</v>
      </c>
      <c r="E20" t="str">
        <f t="shared" si="1"/>
        <v>rg:dataset('Health.csv','19')</v>
      </c>
      <c r="F20" t="str">
        <f t="shared" si="1"/>
        <v>rg:dataset('City.csv','19')</v>
      </c>
      <c r="G20" t="str">
        <f t="shared" si="1"/>
        <v>rg:dataset('Worksafe.csv','19')</v>
      </c>
    </row>
    <row r="21" spans="1:7" x14ac:dyDescent="0.3">
      <c r="A21" s="7">
        <v>20</v>
      </c>
      <c r="B21" t="str">
        <f t="shared" si="1"/>
        <v>rg:dataset('Reg.csv','20')</v>
      </c>
      <c r="C21" t="str">
        <f t="shared" si="1"/>
        <v>rg:dataset('Finance.csv','20')</v>
      </c>
      <c r="D21" t="str">
        <f t="shared" si="1"/>
        <v>rg:dataset('Liquor.csv','20')</v>
      </c>
      <c r="E21" t="str">
        <f t="shared" si="1"/>
        <v>rg:dataset('Health.csv','20')</v>
      </c>
      <c r="F21" t="str">
        <f t="shared" si="1"/>
        <v>rg:dataset('City.csv','20')</v>
      </c>
      <c r="G21" t="str">
        <f t="shared" si="1"/>
        <v>rg:dataset('Worksafe.csv','20')</v>
      </c>
    </row>
    <row r="22" spans="1:7" x14ac:dyDescent="0.3">
      <c r="A22" s="7">
        <v>21</v>
      </c>
      <c r="B22" t="str">
        <f t="shared" si="1"/>
        <v>rg:dataset('Reg.csv','21')</v>
      </c>
      <c r="C22" t="str">
        <f t="shared" si="1"/>
        <v>rg:dataset('Finance.csv','21')</v>
      </c>
      <c r="D22" t="str">
        <f t="shared" si="1"/>
        <v>rg:dataset('Liquor.csv','21')</v>
      </c>
      <c r="E22" t="str">
        <f t="shared" si="1"/>
        <v>rg:dataset('Health.csv','21')</v>
      </c>
      <c r="F22" t="str">
        <f t="shared" si="1"/>
        <v>rg:dataset('City.csv','21')</v>
      </c>
      <c r="G22" t="str">
        <f t="shared" si="1"/>
        <v>rg:dataset('Worksafe.csv','21')</v>
      </c>
    </row>
    <row r="23" spans="1:7" x14ac:dyDescent="0.3">
      <c r="A23" s="7">
        <v>22</v>
      </c>
      <c r="B23" t="str">
        <f t="shared" si="1"/>
        <v>rg:dataset('Reg.csv','22')</v>
      </c>
      <c r="C23" t="str">
        <f t="shared" si="1"/>
        <v>rg:dataset('Finance.csv','22')</v>
      </c>
      <c r="D23" t="str">
        <f t="shared" si="1"/>
        <v>rg:dataset('Liquor.csv','22')</v>
      </c>
      <c r="E23" t="str">
        <f t="shared" si="1"/>
        <v>rg:dataset('Health.csv','22')</v>
      </c>
      <c r="F23" t="str">
        <f t="shared" si="1"/>
        <v>rg:dataset('City.csv','22')</v>
      </c>
      <c r="G23" t="str">
        <f t="shared" si="1"/>
        <v>rg:dataset('Worksafe.csv','22')</v>
      </c>
    </row>
    <row r="24" spans="1:7" x14ac:dyDescent="0.3">
      <c r="A24" s="7">
        <v>23</v>
      </c>
      <c r="B24" t="str">
        <f t="shared" si="1"/>
        <v>rg:dataset('Reg.csv','23')</v>
      </c>
      <c r="C24" t="str">
        <f t="shared" si="1"/>
        <v>rg:dataset('Finance.csv','23')</v>
      </c>
      <c r="D24" t="str">
        <f t="shared" si="1"/>
        <v>rg:dataset('Liquor.csv','23')</v>
      </c>
      <c r="E24" t="str">
        <f t="shared" si="1"/>
        <v>rg:dataset('Health.csv','23')</v>
      </c>
      <c r="F24" t="str">
        <f t="shared" si="1"/>
        <v>rg:dataset('City.csv','23')</v>
      </c>
      <c r="G24" t="str">
        <f t="shared" si="1"/>
        <v>rg:dataset('Worksafe.csv','23')</v>
      </c>
    </row>
    <row r="25" spans="1:7" x14ac:dyDescent="0.3">
      <c r="A25" s="7">
        <v>24</v>
      </c>
      <c r="B25" t="str">
        <f t="shared" si="1"/>
        <v>rg:dataset('Reg.csv','24')</v>
      </c>
      <c r="C25" t="str">
        <f t="shared" si="1"/>
        <v>rg:dataset('Finance.csv','24')</v>
      </c>
      <c r="D25" t="str">
        <f t="shared" si="1"/>
        <v>rg:dataset('Liquor.csv','24')</v>
      </c>
      <c r="E25" t="str">
        <f t="shared" si="1"/>
        <v>rg:dataset('Health.csv','24')</v>
      </c>
      <c r="F25" t="str">
        <f t="shared" si="1"/>
        <v>rg:dataset('City.csv','24')</v>
      </c>
      <c r="G25" t="str">
        <f t="shared" si="1"/>
        <v>rg:dataset('Worksafe.csv','24')</v>
      </c>
    </row>
    <row r="26" spans="1:7" x14ac:dyDescent="0.3">
      <c r="A26" s="7">
        <v>25</v>
      </c>
      <c r="B26" t="str">
        <f t="shared" si="1"/>
        <v>rg:dataset('Reg.csv','25')</v>
      </c>
      <c r="C26" t="str">
        <f t="shared" si="1"/>
        <v>rg:dataset('Finance.csv','25')</v>
      </c>
      <c r="D26" t="str">
        <f t="shared" si="1"/>
        <v>rg:dataset('Liquor.csv','25')</v>
      </c>
      <c r="E26" t="str">
        <f t="shared" si="1"/>
        <v>rg:dataset('Health.csv','25')</v>
      </c>
      <c r="F26" t="str">
        <f t="shared" si="1"/>
        <v>rg:dataset('City.csv','25')</v>
      </c>
      <c r="G26" t="str">
        <f t="shared" si="1"/>
        <v>rg:dataset('Worksafe.csv','25')</v>
      </c>
    </row>
    <row r="27" spans="1:7" x14ac:dyDescent="0.3">
      <c r="A27" s="7">
        <v>26</v>
      </c>
      <c r="B27" t="str">
        <f t="shared" si="1"/>
        <v>rg:dataset('Reg.csv','26')</v>
      </c>
      <c r="C27" t="str">
        <f t="shared" si="1"/>
        <v>rg:dataset('Finance.csv','26')</v>
      </c>
      <c r="D27" t="str">
        <f t="shared" si="1"/>
        <v>rg:dataset('Liquor.csv','26')</v>
      </c>
      <c r="E27" t="str">
        <f t="shared" si="1"/>
        <v>rg:dataset('Health.csv','26')</v>
      </c>
      <c r="F27" t="str">
        <f t="shared" si="1"/>
        <v>rg:dataset('City.csv','26')</v>
      </c>
      <c r="G27" t="str">
        <f t="shared" si="1"/>
        <v>rg:dataset('Worksafe.csv','26')</v>
      </c>
    </row>
    <row r="28" spans="1:7" x14ac:dyDescent="0.3">
      <c r="A28" s="7">
        <v>27</v>
      </c>
      <c r="B28" t="str">
        <f t="shared" si="1"/>
        <v>rg:dataset('Reg.csv','27')</v>
      </c>
      <c r="C28" t="str">
        <f t="shared" si="1"/>
        <v>rg:dataset('Finance.csv','27')</v>
      </c>
      <c r="D28" t="str">
        <f t="shared" si="1"/>
        <v>rg:dataset('Liquor.csv','27')</v>
      </c>
      <c r="E28" t="str">
        <f t="shared" si="1"/>
        <v>rg:dataset('Health.csv','27')</v>
      </c>
      <c r="F28" t="str">
        <f t="shared" si="1"/>
        <v>rg:dataset('City.csv','27')</v>
      </c>
      <c r="G28" t="str">
        <f t="shared" si="1"/>
        <v>rg:dataset('Worksafe.csv','27')</v>
      </c>
    </row>
    <row r="29" spans="1:7" x14ac:dyDescent="0.3">
      <c r="A29" s="7">
        <v>28</v>
      </c>
      <c r="B29" t="str">
        <f t="shared" si="1"/>
        <v>rg:dataset('Reg.csv','28')</v>
      </c>
      <c r="C29" t="str">
        <f t="shared" si="1"/>
        <v>rg:dataset('Finance.csv','28')</v>
      </c>
      <c r="D29" t="str">
        <f t="shared" si="1"/>
        <v>rg:dataset('Liquor.csv','28')</v>
      </c>
      <c r="E29" t="str">
        <f t="shared" si="1"/>
        <v>rg:dataset('Health.csv','28')</v>
      </c>
      <c r="F29" t="str">
        <f t="shared" si="1"/>
        <v>rg:dataset('City.csv','28')</v>
      </c>
      <c r="G29" t="str">
        <f t="shared" si="1"/>
        <v>rg:dataset('Worksafe.csv','28')</v>
      </c>
    </row>
    <row r="30" spans="1:7" x14ac:dyDescent="0.3">
      <c r="A30" s="7">
        <v>29</v>
      </c>
      <c r="B30" t="str">
        <f t="shared" si="1"/>
        <v>rg:dataset('Reg.csv','29')</v>
      </c>
      <c r="C30" t="str">
        <f t="shared" si="1"/>
        <v>rg:dataset('Finance.csv','29')</v>
      </c>
      <c r="D30" t="str">
        <f t="shared" si="1"/>
        <v>rg:dataset('Liquor.csv','29')</v>
      </c>
      <c r="E30" t="str">
        <f t="shared" si="1"/>
        <v>rg:dataset('Health.csv','29')</v>
      </c>
      <c r="F30" t="str">
        <f t="shared" si="1"/>
        <v>rg:dataset('City.csv','29')</v>
      </c>
      <c r="G30" t="str">
        <f t="shared" si="1"/>
        <v>rg:dataset('Worksafe.csv','29')</v>
      </c>
    </row>
    <row r="31" spans="1:7" x14ac:dyDescent="0.3">
      <c r="A31" s="7">
        <v>30</v>
      </c>
      <c r="B31" t="str">
        <f t="shared" si="1"/>
        <v>rg:dataset('Reg.csv','30')</v>
      </c>
      <c r="C31" t="str">
        <f t="shared" si="1"/>
        <v>rg:dataset('Finance.csv','30')</v>
      </c>
      <c r="D31" t="str">
        <f t="shared" si="1"/>
        <v>rg:dataset('Liquor.csv','30')</v>
      </c>
      <c r="E31" t="str">
        <f t="shared" si="1"/>
        <v>rg:dataset('Health.csv','30')</v>
      </c>
      <c r="F31" t="str">
        <f t="shared" si="1"/>
        <v>rg:dataset('City.csv','30')</v>
      </c>
      <c r="G31" t="str">
        <f t="shared" si="1"/>
        <v>rg:dataset('Worksafe.csv','30')</v>
      </c>
    </row>
    <row r="32" spans="1:7" x14ac:dyDescent="0.3">
      <c r="A32" s="7">
        <v>31</v>
      </c>
      <c r="B32" t="str">
        <f t="shared" si="1"/>
        <v>rg:dataset('Reg.csv','31')</v>
      </c>
      <c r="C32" t="str">
        <f t="shared" si="1"/>
        <v>rg:dataset('Finance.csv','31')</v>
      </c>
      <c r="D32" t="str">
        <f t="shared" si="1"/>
        <v>rg:dataset('Liquor.csv','31')</v>
      </c>
      <c r="E32" t="str">
        <f t="shared" si="1"/>
        <v>rg:dataset('Health.csv','31')</v>
      </c>
      <c r="F32" t="str">
        <f t="shared" si="1"/>
        <v>rg:dataset('City.csv','31')</v>
      </c>
      <c r="G32" t="str">
        <f t="shared" si="1"/>
        <v>rg:dataset('Worksafe.csv','31')</v>
      </c>
    </row>
    <row r="33" spans="1:7" x14ac:dyDescent="0.3">
      <c r="A33" s="7">
        <v>32</v>
      </c>
      <c r="B33" t="str">
        <f t="shared" si="1"/>
        <v>rg:dataset('Reg.csv','32')</v>
      </c>
      <c r="C33" t="str">
        <f t="shared" si="1"/>
        <v>rg:dataset('Finance.csv','32')</v>
      </c>
      <c r="D33" t="str">
        <f t="shared" si="1"/>
        <v>rg:dataset('Liquor.csv','32')</v>
      </c>
      <c r="E33" t="str">
        <f t="shared" si="1"/>
        <v>rg:dataset('Health.csv','32')</v>
      </c>
      <c r="F33" t="str">
        <f t="shared" si="1"/>
        <v>rg:dataset('City.csv','32')</v>
      </c>
      <c r="G33" t="str">
        <f t="shared" si="1"/>
        <v>rg:dataset('Worksafe.csv','32')</v>
      </c>
    </row>
    <row r="34" spans="1:7" x14ac:dyDescent="0.3">
      <c r="A34" s="7">
        <v>33</v>
      </c>
      <c r="B34" t="str">
        <f t="shared" si="1"/>
        <v>rg:dataset('Reg.csv','33')</v>
      </c>
      <c r="C34" t="str">
        <f t="shared" si="1"/>
        <v>rg:dataset('Finance.csv','33')</v>
      </c>
      <c r="D34" t="str">
        <f t="shared" si="1"/>
        <v>rg:dataset('Liquor.csv','33')</v>
      </c>
      <c r="E34" t="str">
        <f t="shared" si="1"/>
        <v>rg:dataset('Health.csv','33')</v>
      </c>
      <c r="F34" t="str">
        <f t="shared" si="1"/>
        <v>rg:dataset('City.csv','33')</v>
      </c>
      <c r="G34" t="str">
        <f t="shared" si="1"/>
        <v>rg:dataset('Worksafe.csv','33')</v>
      </c>
    </row>
    <row r="35" spans="1:7" x14ac:dyDescent="0.3">
      <c r="A35" s="7">
        <v>34</v>
      </c>
      <c r="B35" t="str">
        <f t="shared" ref="B35:G59" si="2">"rg:dataset('"&amp;B$1&amp;".csv','"&amp;$A35&amp;"')"</f>
        <v>rg:dataset('Reg.csv','34')</v>
      </c>
      <c r="C35" t="str">
        <f t="shared" si="2"/>
        <v>rg:dataset('Finance.csv','34')</v>
      </c>
      <c r="D35" t="str">
        <f t="shared" si="2"/>
        <v>rg:dataset('Liquor.csv','34')</v>
      </c>
      <c r="E35" t="str">
        <f t="shared" si="2"/>
        <v>rg:dataset('Health.csv','34')</v>
      </c>
      <c r="F35" t="str">
        <f t="shared" si="2"/>
        <v>rg:dataset('City.csv','34')</v>
      </c>
      <c r="G35" t="str">
        <f t="shared" si="2"/>
        <v>rg:dataset('Worksafe.csv','34')</v>
      </c>
    </row>
    <row r="36" spans="1:7" x14ac:dyDescent="0.3">
      <c r="A36" s="7">
        <v>35</v>
      </c>
      <c r="B36" t="str">
        <f t="shared" si="2"/>
        <v>rg:dataset('Reg.csv','35')</v>
      </c>
      <c r="C36" t="str">
        <f t="shared" si="2"/>
        <v>rg:dataset('Finance.csv','35')</v>
      </c>
      <c r="D36" t="str">
        <f t="shared" si="2"/>
        <v>rg:dataset('Liquor.csv','35')</v>
      </c>
      <c r="E36" t="str">
        <f t="shared" si="2"/>
        <v>rg:dataset('Health.csv','35')</v>
      </c>
      <c r="F36" t="str">
        <f t="shared" si="2"/>
        <v>rg:dataset('City.csv','35')</v>
      </c>
      <c r="G36" t="str">
        <f t="shared" si="2"/>
        <v>rg:dataset('Worksafe.csv','35')</v>
      </c>
    </row>
    <row r="37" spans="1:7" x14ac:dyDescent="0.3">
      <c r="A37" s="7">
        <v>36</v>
      </c>
      <c r="B37" t="str">
        <f t="shared" si="2"/>
        <v>rg:dataset('Reg.csv','36')</v>
      </c>
      <c r="C37" t="str">
        <f t="shared" si="2"/>
        <v>rg:dataset('Finance.csv','36')</v>
      </c>
      <c r="D37" t="str">
        <f t="shared" si="2"/>
        <v>rg:dataset('Liquor.csv','36')</v>
      </c>
      <c r="E37" t="str">
        <f t="shared" si="2"/>
        <v>rg:dataset('Health.csv','36')</v>
      </c>
      <c r="F37" t="str">
        <f t="shared" si="2"/>
        <v>rg:dataset('City.csv','36')</v>
      </c>
      <c r="G37" t="str">
        <f t="shared" si="2"/>
        <v>rg:dataset('Worksafe.csv','36')</v>
      </c>
    </row>
    <row r="38" spans="1:7" x14ac:dyDescent="0.3">
      <c r="A38" s="7">
        <v>37</v>
      </c>
      <c r="B38" t="str">
        <f t="shared" si="2"/>
        <v>rg:dataset('Reg.csv','37')</v>
      </c>
      <c r="C38" t="str">
        <f t="shared" si="2"/>
        <v>rg:dataset('Finance.csv','37')</v>
      </c>
      <c r="D38" t="str">
        <f t="shared" si="2"/>
        <v>rg:dataset('Liquor.csv','37')</v>
      </c>
      <c r="E38" t="str">
        <f t="shared" si="2"/>
        <v>rg:dataset('Health.csv','37')</v>
      </c>
      <c r="F38" t="str">
        <f t="shared" si="2"/>
        <v>rg:dataset('City.csv','37')</v>
      </c>
      <c r="G38" t="str">
        <f t="shared" si="2"/>
        <v>rg:dataset('Worksafe.csv','37')</v>
      </c>
    </row>
    <row r="39" spans="1:7" x14ac:dyDescent="0.3">
      <c r="A39" s="7">
        <v>38</v>
      </c>
      <c r="B39" t="str">
        <f t="shared" si="2"/>
        <v>rg:dataset('Reg.csv','38')</v>
      </c>
      <c r="C39" t="str">
        <f t="shared" si="2"/>
        <v>rg:dataset('Finance.csv','38')</v>
      </c>
      <c r="D39" t="str">
        <f t="shared" si="2"/>
        <v>rg:dataset('Liquor.csv','38')</v>
      </c>
      <c r="E39" t="str">
        <f t="shared" si="2"/>
        <v>rg:dataset('Health.csv','38')</v>
      </c>
      <c r="F39" t="str">
        <f t="shared" si="2"/>
        <v>rg:dataset('City.csv','38')</v>
      </c>
      <c r="G39" t="str">
        <f t="shared" si="2"/>
        <v>rg:dataset('Worksafe.csv','38')</v>
      </c>
    </row>
    <row r="40" spans="1:7" x14ac:dyDescent="0.3">
      <c r="A40" s="7">
        <v>39</v>
      </c>
      <c r="B40" t="str">
        <f t="shared" si="2"/>
        <v>rg:dataset('Reg.csv','39')</v>
      </c>
      <c r="C40" t="str">
        <f t="shared" si="2"/>
        <v>rg:dataset('Finance.csv','39')</v>
      </c>
      <c r="D40" t="str">
        <f t="shared" si="2"/>
        <v>rg:dataset('Liquor.csv','39')</v>
      </c>
      <c r="E40" t="str">
        <f t="shared" si="2"/>
        <v>rg:dataset('Health.csv','39')</v>
      </c>
      <c r="F40" t="str">
        <f t="shared" si="2"/>
        <v>rg:dataset('City.csv','39')</v>
      </c>
      <c r="G40" t="str">
        <f t="shared" si="2"/>
        <v>rg:dataset('Worksafe.csv','39')</v>
      </c>
    </row>
    <row r="41" spans="1:7" x14ac:dyDescent="0.3">
      <c r="A41" s="7">
        <v>40</v>
      </c>
      <c r="B41" t="str">
        <f t="shared" si="2"/>
        <v>rg:dataset('Reg.csv','40')</v>
      </c>
      <c r="C41" t="str">
        <f t="shared" si="2"/>
        <v>rg:dataset('Finance.csv','40')</v>
      </c>
      <c r="D41" t="str">
        <f t="shared" si="2"/>
        <v>rg:dataset('Liquor.csv','40')</v>
      </c>
      <c r="E41" t="str">
        <f t="shared" si="2"/>
        <v>rg:dataset('Health.csv','40')</v>
      </c>
      <c r="F41" t="str">
        <f t="shared" si="2"/>
        <v>rg:dataset('City.csv','40')</v>
      </c>
      <c r="G41" t="str">
        <f t="shared" si="2"/>
        <v>rg:dataset('Worksafe.csv','40')</v>
      </c>
    </row>
    <row r="42" spans="1:7" x14ac:dyDescent="0.3">
      <c r="A42" s="7">
        <v>41</v>
      </c>
      <c r="B42" t="str">
        <f t="shared" si="2"/>
        <v>rg:dataset('Reg.csv','41')</v>
      </c>
      <c r="C42" t="str">
        <f t="shared" si="2"/>
        <v>rg:dataset('Finance.csv','41')</v>
      </c>
      <c r="D42" t="str">
        <f t="shared" si="2"/>
        <v>rg:dataset('Liquor.csv','41')</v>
      </c>
      <c r="E42" t="str">
        <f t="shared" si="2"/>
        <v>rg:dataset('Health.csv','41')</v>
      </c>
      <c r="F42" t="str">
        <f t="shared" si="2"/>
        <v>rg:dataset('City.csv','41')</v>
      </c>
      <c r="G42" t="str">
        <f t="shared" si="2"/>
        <v>rg:dataset('Worksafe.csv','41')</v>
      </c>
    </row>
    <row r="43" spans="1:7" x14ac:dyDescent="0.3">
      <c r="A43" s="7">
        <v>42</v>
      </c>
      <c r="B43" t="str">
        <f t="shared" si="2"/>
        <v>rg:dataset('Reg.csv','42')</v>
      </c>
      <c r="C43" t="str">
        <f t="shared" si="2"/>
        <v>rg:dataset('Finance.csv','42')</v>
      </c>
      <c r="D43" t="str">
        <f t="shared" si="2"/>
        <v>rg:dataset('Liquor.csv','42')</v>
      </c>
      <c r="E43" t="str">
        <f t="shared" si="2"/>
        <v>rg:dataset('Health.csv','42')</v>
      </c>
      <c r="F43" t="str">
        <f t="shared" si="2"/>
        <v>rg:dataset('City.csv','42')</v>
      </c>
      <c r="G43" t="str">
        <f t="shared" si="2"/>
        <v>rg:dataset('Worksafe.csv','42')</v>
      </c>
    </row>
    <row r="44" spans="1:7" x14ac:dyDescent="0.3">
      <c r="A44" s="7">
        <v>43</v>
      </c>
      <c r="B44" t="str">
        <f t="shared" si="2"/>
        <v>rg:dataset('Reg.csv','43')</v>
      </c>
      <c r="C44" t="str">
        <f t="shared" si="2"/>
        <v>rg:dataset('Finance.csv','43')</v>
      </c>
      <c r="D44" t="str">
        <f t="shared" si="2"/>
        <v>rg:dataset('Liquor.csv','43')</v>
      </c>
      <c r="E44" t="str">
        <f t="shared" si="2"/>
        <v>rg:dataset('Health.csv','43')</v>
      </c>
      <c r="F44" t="str">
        <f t="shared" si="2"/>
        <v>rg:dataset('City.csv','43')</v>
      </c>
      <c r="G44" t="str">
        <f t="shared" si="2"/>
        <v>rg:dataset('Worksafe.csv','43')</v>
      </c>
    </row>
    <row r="45" spans="1:7" x14ac:dyDescent="0.3">
      <c r="A45" s="7">
        <v>44</v>
      </c>
      <c r="B45" t="str">
        <f t="shared" si="2"/>
        <v>rg:dataset('Reg.csv','44')</v>
      </c>
      <c r="C45" t="str">
        <f t="shared" si="2"/>
        <v>rg:dataset('Finance.csv','44')</v>
      </c>
      <c r="D45" t="str">
        <f t="shared" si="2"/>
        <v>rg:dataset('Liquor.csv','44')</v>
      </c>
      <c r="E45" t="str">
        <f t="shared" si="2"/>
        <v>rg:dataset('Health.csv','44')</v>
      </c>
      <c r="F45" t="str">
        <f t="shared" si="2"/>
        <v>rg:dataset('City.csv','44')</v>
      </c>
      <c r="G45" t="str">
        <f t="shared" si="2"/>
        <v>rg:dataset('Worksafe.csv','44')</v>
      </c>
    </row>
    <row r="46" spans="1:7" x14ac:dyDescent="0.3">
      <c r="A46" s="7">
        <v>45</v>
      </c>
      <c r="B46" t="str">
        <f t="shared" si="2"/>
        <v>rg:dataset('Reg.csv','45')</v>
      </c>
      <c r="C46" t="str">
        <f t="shared" si="2"/>
        <v>rg:dataset('Finance.csv','45')</v>
      </c>
      <c r="D46" t="str">
        <f t="shared" si="2"/>
        <v>rg:dataset('Liquor.csv','45')</v>
      </c>
      <c r="E46" t="str">
        <f t="shared" si="2"/>
        <v>rg:dataset('Health.csv','45')</v>
      </c>
      <c r="F46" t="str">
        <f t="shared" si="2"/>
        <v>rg:dataset('City.csv','45')</v>
      </c>
      <c r="G46" t="str">
        <f t="shared" si="2"/>
        <v>rg:dataset('Worksafe.csv','45')</v>
      </c>
    </row>
    <row r="47" spans="1:7" x14ac:dyDescent="0.3">
      <c r="A47" s="7">
        <v>46</v>
      </c>
      <c r="B47" t="str">
        <f t="shared" si="2"/>
        <v>rg:dataset('Reg.csv','46')</v>
      </c>
      <c r="C47" t="str">
        <f t="shared" si="2"/>
        <v>rg:dataset('Finance.csv','46')</v>
      </c>
      <c r="D47" t="str">
        <f t="shared" si="2"/>
        <v>rg:dataset('Liquor.csv','46')</v>
      </c>
      <c r="E47" t="str">
        <f t="shared" si="2"/>
        <v>rg:dataset('Health.csv','46')</v>
      </c>
      <c r="F47" t="str">
        <f t="shared" si="2"/>
        <v>rg:dataset('City.csv','46')</v>
      </c>
      <c r="G47" t="str">
        <f t="shared" si="2"/>
        <v>rg:dataset('Worksafe.csv','46')</v>
      </c>
    </row>
    <row r="48" spans="1:7" x14ac:dyDescent="0.3">
      <c r="A48" s="7">
        <v>47</v>
      </c>
      <c r="B48" t="str">
        <f t="shared" si="2"/>
        <v>rg:dataset('Reg.csv','47')</v>
      </c>
      <c r="C48" t="str">
        <f t="shared" si="2"/>
        <v>rg:dataset('Finance.csv','47')</v>
      </c>
      <c r="D48" t="str">
        <f t="shared" si="2"/>
        <v>rg:dataset('Liquor.csv','47')</v>
      </c>
      <c r="E48" t="str">
        <f t="shared" si="2"/>
        <v>rg:dataset('Health.csv','47')</v>
      </c>
      <c r="F48" t="str">
        <f t="shared" si="2"/>
        <v>rg:dataset('City.csv','47')</v>
      </c>
      <c r="G48" t="str">
        <f t="shared" si="2"/>
        <v>rg:dataset('Worksafe.csv','47')</v>
      </c>
    </row>
    <row r="49" spans="1:7" x14ac:dyDescent="0.3">
      <c r="A49" s="7">
        <v>48</v>
      </c>
      <c r="B49" t="str">
        <f t="shared" si="2"/>
        <v>rg:dataset('Reg.csv','48')</v>
      </c>
      <c r="C49" t="str">
        <f t="shared" si="2"/>
        <v>rg:dataset('Finance.csv','48')</v>
      </c>
      <c r="D49" t="str">
        <f t="shared" si="2"/>
        <v>rg:dataset('Liquor.csv','48')</v>
      </c>
      <c r="E49" t="str">
        <f t="shared" si="2"/>
        <v>rg:dataset('Health.csv','48')</v>
      </c>
      <c r="F49" t="str">
        <f t="shared" si="2"/>
        <v>rg:dataset('City.csv','48')</v>
      </c>
      <c r="G49" t="str">
        <f t="shared" si="2"/>
        <v>rg:dataset('Worksafe.csv','48')</v>
      </c>
    </row>
    <row r="50" spans="1:7" x14ac:dyDescent="0.3">
      <c r="A50" s="7">
        <v>49</v>
      </c>
      <c r="B50" t="str">
        <f t="shared" si="2"/>
        <v>rg:dataset('Reg.csv','49')</v>
      </c>
      <c r="C50" t="str">
        <f t="shared" si="2"/>
        <v>rg:dataset('Finance.csv','49')</v>
      </c>
      <c r="D50" t="str">
        <f t="shared" si="2"/>
        <v>rg:dataset('Liquor.csv','49')</v>
      </c>
      <c r="E50" t="str">
        <f t="shared" si="2"/>
        <v>rg:dataset('Health.csv','49')</v>
      </c>
      <c r="F50" t="str">
        <f t="shared" si="2"/>
        <v>rg:dataset('City.csv','49')</v>
      </c>
      <c r="G50" t="str">
        <f t="shared" si="2"/>
        <v>rg:dataset('Worksafe.csv','49')</v>
      </c>
    </row>
    <row r="51" spans="1:7" x14ac:dyDescent="0.3">
      <c r="A51" s="7">
        <v>50</v>
      </c>
      <c r="B51" t="str">
        <f t="shared" si="2"/>
        <v>rg:dataset('Reg.csv','50')</v>
      </c>
      <c r="C51" t="str">
        <f t="shared" si="2"/>
        <v>rg:dataset('Finance.csv','50')</v>
      </c>
      <c r="D51" t="str">
        <f t="shared" si="2"/>
        <v>rg:dataset('Liquor.csv','50')</v>
      </c>
      <c r="E51" t="str">
        <f t="shared" si="2"/>
        <v>rg:dataset('Health.csv','50')</v>
      </c>
      <c r="F51" t="str">
        <f t="shared" si="2"/>
        <v>rg:dataset('City.csv','50')</v>
      </c>
      <c r="G51" t="str">
        <f t="shared" si="2"/>
        <v>rg:dataset('Worksafe.csv','50')</v>
      </c>
    </row>
    <row r="52" spans="1:7" x14ac:dyDescent="0.3">
      <c r="A52" s="7">
        <v>51</v>
      </c>
      <c r="B52" t="str">
        <f t="shared" si="2"/>
        <v>rg:dataset('Reg.csv','51')</v>
      </c>
      <c r="C52" t="str">
        <f t="shared" si="2"/>
        <v>rg:dataset('Finance.csv','51')</v>
      </c>
      <c r="D52" t="str">
        <f t="shared" si="2"/>
        <v>rg:dataset('Liquor.csv','51')</v>
      </c>
      <c r="E52" t="str">
        <f t="shared" si="2"/>
        <v>rg:dataset('Health.csv','51')</v>
      </c>
      <c r="F52" t="str">
        <f t="shared" si="2"/>
        <v>rg:dataset('City.csv','51')</v>
      </c>
      <c r="G52" t="str">
        <f t="shared" si="2"/>
        <v>rg:dataset('Worksafe.csv','51')</v>
      </c>
    </row>
    <row r="53" spans="1:7" x14ac:dyDescent="0.3">
      <c r="A53" s="7">
        <v>52</v>
      </c>
      <c r="B53" t="str">
        <f t="shared" si="2"/>
        <v>rg:dataset('Reg.csv','52')</v>
      </c>
      <c r="C53" t="str">
        <f t="shared" si="2"/>
        <v>rg:dataset('Finance.csv','52')</v>
      </c>
      <c r="D53" t="str">
        <f t="shared" si="2"/>
        <v>rg:dataset('Liquor.csv','52')</v>
      </c>
      <c r="E53" t="str">
        <f t="shared" si="2"/>
        <v>rg:dataset('Health.csv','52')</v>
      </c>
      <c r="F53" t="str">
        <f t="shared" si="2"/>
        <v>rg:dataset('City.csv','52')</v>
      </c>
      <c r="G53" t="str">
        <f t="shared" si="2"/>
        <v>rg:dataset('Worksafe.csv','52')</v>
      </c>
    </row>
    <row r="54" spans="1:7" x14ac:dyDescent="0.3">
      <c r="A54" s="7">
        <v>53</v>
      </c>
      <c r="B54" t="str">
        <f t="shared" si="2"/>
        <v>rg:dataset('Reg.csv','53')</v>
      </c>
      <c r="C54" t="str">
        <f t="shared" si="2"/>
        <v>rg:dataset('Finance.csv','53')</v>
      </c>
      <c r="D54" t="str">
        <f t="shared" si="2"/>
        <v>rg:dataset('Liquor.csv','53')</v>
      </c>
      <c r="E54" t="str">
        <f t="shared" si="2"/>
        <v>rg:dataset('Health.csv','53')</v>
      </c>
      <c r="F54" t="str">
        <f t="shared" si="2"/>
        <v>rg:dataset('City.csv','53')</v>
      </c>
      <c r="G54" t="str">
        <f t="shared" si="2"/>
        <v>rg:dataset('Worksafe.csv','53')</v>
      </c>
    </row>
    <row r="55" spans="1:7" x14ac:dyDescent="0.3">
      <c r="A55" s="7">
        <v>54</v>
      </c>
      <c r="B55" t="str">
        <f t="shared" si="2"/>
        <v>rg:dataset('Reg.csv','54')</v>
      </c>
      <c r="C55" t="str">
        <f t="shared" si="2"/>
        <v>rg:dataset('Finance.csv','54')</v>
      </c>
      <c r="D55" t="str">
        <f t="shared" si="2"/>
        <v>rg:dataset('Liquor.csv','54')</v>
      </c>
      <c r="E55" t="str">
        <f t="shared" si="2"/>
        <v>rg:dataset('Health.csv','54')</v>
      </c>
      <c r="F55" t="str">
        <f t="shared" si="2"/>
        <v>rg:dataset('City.csv','54')</v>
      </c>
      <c r="G55" t="str">
        <f t="shared" si="2"/>
        <v>rg:dataset('Worksafe.csv','54')</v>
      </c>
    </row>
    <row r="56" spans="1:7" x14ac:dyDescent="0.3">
      <c r="A56" s="7">
        <v>55</v>
      </c>
      <c r="B56" t="str">
        <f t="shared" si="2"/>
        <v>rg:dataset('Reg.csv','55')</v>
      </c>
      <c r="C56" t="str">
        <f t="shared" si="2"/>
        <v>rg:dataset('Finance.csv','55')</v>
      </c>
      <c r="D56" t="str">
        <f t="shared" si="2"/>
        <v>rg:dataset('Liquor.csv','55')</v>
      </c>
      <c r="E56" t="str">
        <f t="shared" si="2"/>
        <v>rg:dataset('Health.csv','55')</v>
      </c>
      <c r="F56" t="str">
        <f t="shared" si="2"/>
        <v>rg:dataset('City.csv','55')</v>
      </c>
      <c r="G56" t="str">
        <f t="shared" si="2"/>
        <v>rg:dataset('Worksafe.csv','55')</v>
      </c>
    </row>
    <row r="57" spans="1:7" x14ac:dyDescent="0.3">
      <c r="A57" s="7">
        <v>56</v>
      </c>
      <c r="B57" t="str">
        <f t="shared" si="2"/>
        <v>rg:dataset('Reg.csv','56')</v>
      </c>
      <c r="C57" t="str">
        <f t="shared" si="2"/>
        <v>rg:dataset('Finance.csv','56')</v>
      </c>
      <c r="D57" t="str">
        <f t="shared" si="2"/>
        <v>rg:dataset('Liquor.csv','56')</v>
      </c>
      <c r="E57" t="str">
        <f t="shared" si="2"/>
        <v>rg:dataset('Health.csv','56')</v>
      </c>
      <c r="F57" t="str">
        <f t="shared" si="2"/>
        <v>rg:dataset('City.csv','56')</v>
      </c>
      <c r="G57" t="str">
        <f t="shared" si="2"/>
        <v>rg:dataset('Worksafe.csv','56')</v>
      </c>
    </row>
    <row r="58" spans="1:7" x14ac:dyDescent="0.3">
      <c r="A58" s="7">
        <v>57</v>
      </c>
      <c r="B58" t="str">
        <f t="shared" si="2"/>
        <v>rg:dataset('Reg.csv','57')</v>
      </c>
      <c r="C58" t="str">
        <f t="shared" si="2"/>
        <v>rg:dataset('Finance.csv','57')</v>
      </c>
      <c r="D58" t="str">
        <f t="shared" si="2"/>
        <v>rg:dataset('Liquor.csv','57')</v>
      </c>
      <c r="E58" t="str">
        <f t="shared" si="2"/>
        <v>rg:dataset('Health.csv','57')</v>
      </c>
      <c r="F58" t="str">
        <f t="shared" si="2"/>
        <v>rg:dataset('City.csv','57')</v>
      </c>
      <c r="G58" t="str">
        <f t="shared" si="2"/>
        <v>rg:dataset('Worksafe.csv','57')</v>
      </c>
    </row>
    <row r="59" spans="1:7" x14ac:dyDescent="0.3">
      <c r="A59" s="7">
        <v>58</v>
      </c>
      <c r="B59" t="str">
        <f t="shared" si="2"/>
        <v>rg:dataset('Reg.csv','58')</v>
      </c>
      <c r="C59" t="str">
        <f t="shared" si="2"/>
        <v>rg:dataset('Finance.csv','58')</v>
      </c>
      <c r="D59" t="str">
        <f t="shared" si="2"/>
        <v>rg:dataset('Liquor.csv','58')</v>
      </c>
      <c r="E59" t="str">
        <f t="shared" si="2"/>
        <v>rg:dataset('Health.csv','58')</v>
      </c>
      <c r="F59" t="str">
        <f t="shared" si="2"/>
        <v>rg:dataset('City.csv','58')</v>
      </c>
      <c r="G59" t="str">
        <f t="shared" si="2"/>
        <v>rg:dataset('Worksafe.csv','58')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8A340-3855-4FFE-AB4F-F212A047CDF2}">
  <dimension ref="A1:I59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4" style="7" bestFit="1" customWidth="1"/>
    <col min="2" max="2" width="23.21875" bestFit="1" customWidth="1"/>
    <col min="3" max="3" width="20.6640625" bestFit="1" customWidth="1"/>
    <col min="4" max="4" width="16.21875" bestFit="1" customWidth="1"/>
    <col min="5" max="5" width="19.33203125" bestFit="1" customWidth="1"/>
    <col min="6" max="6" width="6.109375" bestFit="1" customWidth="1"/>
    <col min="7" max="7" width="8.33203125" bestFit="1" customWidth="1"/>
    <col min="8" max="8" width="11.21875" bestFit="1" customWidth="1"/>
    <col min="9" max="9" width="7.5546875" bestFit="1" customWidth="1"/>
  </cols>
  <sheetData>
    <row r="1" spans="1:9" s="2" customFormat="1" x14ac:dyDescent="0.3">
      <c r="A1" s="8" t="s">
        <v>3</v>
      </c>
      <c r="B1" s="2" t="s">
        <v>350</v>
      </c>
      <c r="C1" s="2" t="s">
        <v>359</v>
      </c>
      <c r="D1" s="2" t="s">
        <v>344</v>
      </c>
      <c r="E1" s="2" t="s">
        <v>353</v>
      </c>
      <c r="F1" s="2" t="s">
        <v>354</v>
      </c>
      <c r="G1" s="2" t="s">
        <v>284</v>
      </c>
      <c r="H1" s="2" t="s">
        <v>355</v>
      </c>
      <c r="I1" s="2" t="s">
        <v>356</v>
      </c>
    </row>
    <row r="2" spans="1:9" x14ac:dyDescent="0.3">
      <c r="A2" s="7">
        <v>1</v>
      </c>
      <c r="B2" t="s">
        <v>358</v>
      </c>
      <c r="C2" t="str">
        <f ca="1">Names!F2&amp;" "&amp;INDEX('Restaurant Names'!A$1:A$39,RANDBETWEEN(1,39))</f>
        <v>Warner Bar and Grill</v>
      </c>
      <c r="D2" t="str">
        <f>Names!D2&amp;" "&amp;Names!F2</f>
        <v>Lillian Warner</v>
      </c>
      <c r="E2" t="str">
        <f>Names!G2</f>
        <v>2553 Holdom Avenue</v>
      </c>
      <c r="F2" t="str">
        <f>Names!H2</f>
        <v>Surrey</v>
      </c>
      <c r="G2" t="str">
        <f>Names!I2</f>
        <v>BC</v>
      </c>
      <c r="H2" t="str">
        <f>Names!J2</f>
        <v>V3T 4Y5</v>
      </c>
      <c r="I2" t="str">
        <f>Names!K2</f>
        <v>CA</v>
      </c>
    </row>
    <row r="3" spans="1:9" x14ac:dyDescent="0.3">
      <c r="A3" s="7">
        <v>2</v>
      </c>
      <c r="B3" t="s">
        <v>358</v>
      </c>
      <c r="C3" t="str">
        <f ca="1">Names!F3&amp;" "&amp;INDEX('Restaurant Names'!A$1:A$39,RANDBETWEEN(1,39))</f>
        <v>Seng Dining Hall</v>
      </c>
      <c r="D3" t="str">
        <f>Names!D3&amp;" "&amp;Names!F3</f>
        <v>Charles Seng</v>
      </c>
      <c r="E3" t="str">
        <f>Names!G3</f>
        <v>4761 King George Hwy</v>
      </c>
      <c r="F3" t="str">
        <f>Names!H3</f>
        <v>Surrey</v>
      </c>
      <c r="G3" t="str">
        <f>Names!I3</f>
        <v>BC</v>
      </c>
      <c r="H3" t="str">
        <f>Names!J3</f>
        <v>V3W 4E3</v>
      </c>
      <c r="I3" t="str">
        <f>Names!K3</f>
        <v>CA</v>
      </c>
    </row>
    <row r="4" spans="1:9" x14ac:dyDescent="0.3">
      <c r="A4" s="7">
        <v>3</v>
      </c>
      <c r="B4" t="s">
        <v>358</v>
      </c>
      <c r="C4" t="str">
        <f ca="1">Names!F4&amp;" "&amp;INDEX('Restaurant Names'!A$1:A$39,RANDBETWEEN(1,39))</f>
        <v>Carter Dining Room</v>
      </c>
      <c r="D4" t="str">
        <f>Names!D4&amp;" "&amp;Names!F4</f>
        <v>Ronda Carter</v>
      </c>
      <c r="E4" t="str">
        <f>Names!G4</f>
        <v>1979 King George Hwy</v>
      </c>
      <c r="F4" t="str">
        <f>Names!H4</f>
        <v>Surrey</v>
      </c>
      <c r="G4" t="str">
        <f>Names!I4</f>
        <v>BC</v>
      </c>
      <c r="H4" t="str">
        <f>Names!J4</f>
        <v>V3W 4E3</v>
      </c>
      <c r="I4" t="str">
        <f>Names!K4</f>
        <v>CA</v>
      </c>
    </row>
    <row r="5" spans="1:9" x14ac:dyDescent="0.3">
      <c r="A5" s="7">
        <v>4</v>
      </c>
      <c r="B5" t="s">
        <v>358</v>
      </c>
      <c r="C5" t="str">
        <f ca="1">Names!F5&amp;" "&amp;INDEX('Restaurant Names'!A$1:A$39,RANDBETWEEN(1,39))</f>
        <v>Huerta Foods</v>
      </c>
      <c r="D5" t="str">
        <f>Names!D5&amp;" "&amp;Names!F5</f>
        <v>Alma Huerta</v>
      </c>
      <c r="E5" t="str">
        <f>Names!G5</f>
        <v>2162 King George Hwy</v>
      </c>
      <c r="F5" t="str">
        <f>Names!H5</f>
        <v>Surrey</v>
      </c>
      <c r="G5" t="str">
        <f>Names!I5</f>
        <v>BC</v>
      </c>
      <c r="H5" t="str">
        <f>Names!J5</f>
        <v>V3W 4E3</v>
      </c>
      <c r="I5" t="str">
        <f>Names!K5</f>
        <v>CA</v>
      </c>
    </row>
    <row r="6" spans="1:9" x14ac:dyDescent="0.3">
      <c r="A6" s="7">
        <v>5</v>
      </c>
      <c r="B6" t="s">
        <v>358</v>
      </c>
      <c r="C6" t="str">
        <f ca="1">Names!F6&amp;" "&amp;INDEX('Restaurant Names'!A$1:A$39,RANDBETWEEN(1,39))</f>
        <v>Gibson Eatry</v>
      </c>
      <c r="D6" t="str">
        <f>Names!D6&amp;" "&amp;Names!F6</f>
        <v>Jimmie Gibson</v>
      </c>
      <c r="E6" t="str">
        <f>Names!G6</f>
        <v>2559 Holdom Avenue</v>
      </c>
      <c r="F6" t="str">
        <f>Names!H6</f>
        <v>Surrey</v>
      </c>
      <c r="G6" t="str">
        <f>Names!I6</f>
        <v>BC</v>
      </c>
      <c r="H6" t="str">
        <f>Names!J6</f>
        <v>V3T 4Y5</v>
      </c>
      <c r="I6" t="str">
        <f>Names!K6</f>
        <v>CA</v>
      </c>
    </row>
    <row r="7" spans="1:9" x14ac:dyDescent="0.3">
      <c r="A7" s="7">
        <v>6</v>
      </c>
      <c r="B7" t="s">
        <v>358</v>
      </c>
      <c r="C7" t="str">
        <f ca="1">Names!F7&amp;" "&amp;INDEX('Restaurant Names'!A$1:A$39,RANDBETWEEN(1,39))</f>
        <v>Joplin Carryout</v>
      </c>
      <c r="D7" t="str">
        <f>Names!D7&amp;" "&amp;Names!F7</f>
        <v>Sadie Joplin</v>
      </c>
      <c r="E7" t="str">
        <f>Names!G7</f>
        <v>2362 Glover Road</v>
      </c>
      <c r="F7" t="str">
        <f>Names!H7</f>
        <v>Surrey</v>
      </c>
      <c r="G7" t="str">
        <f>Names!I7</f>
        <v>BC</v>
      </c>
      <c r="H7" t="str">
        <f>Names!J7</f>
        <v>V3W 4N6</v>
      </c>
      <c r="I7" t="str">
        <f>Names!K7</f>
        <v>CA</v>
      </c>
    </row>
    <row r="8" spans="1:9" x14ac:dyDescent="0.3">
      <c r="A8" s="7">
        <v>7</v>
      </c>
      <c r="B8" t="s">
        <v>358</v>
      </c>
      <c r="C8" t="str">
        <f ca="1">Names!F8&amp;" "&amp;INDEX('Restaurant Names'!A$1:A$39,RANDBETWEEN(1,39))</f>
        <v>Porter Cafe</v>
      </c>
      <c r="D8" t="str">
        <f>Names!D8&amp;" "&amp;Names!F8</f>
        <v>Lisa Porter</v>
      </c>
      <c r="E8" t="str">
        <f>Names!G8</f>
        <v>3357 Glover Road</v>
      </c>
      <c r="F8" t="str">
        <f>Names!H8</f>
        <v>Surrey</v>
      </c>
      <c r="G8" t="str">
        <f>Names!I8</f>
        <v>BC</v>
      </c>
      <c r="H8" t="str">
        <f>Names!J8</f>
        <v>V3S 4C4</v>
      </c>
      <c r="I8" t="str">
        <f>Names!K8</f>
        <v>CA</v>
      </c>
    </row>
    <row r="9" spans="1:9" x14ac:dyDescent="0.3">
      <c r="A9" s="7">
        <v>8</v>
      </c>
      <c r="B9" t="s">
        <v>358</v>
      </c>
      <c r="C9" t="str">
        <f ca="1">Names!F9&amp;" "&amp;INDEX('Restaurant Names'!A$1:A$39,RANDBETWEEN(1,39))</f>
        <v>Harrington Saloon</v>
      </c>
      <c r="D9" t="str">
        <f>Names!D9&amp;" "&amp;Names!F9</f>
        <v>Esther Harrington</v>
      </c>
      <c r="E9" t="str">
        <f>Names!G9</f>
        <v>4883 Glover Road</v>
      </c>
      <c r="F9" t="str">
        <f>Names!H9</f>
        <v>Surrey</v>
      </c>
      <c r="G9" t="str">
        <f>Names!I9</f>
        <v>BC</v>
      </c>
      <c r="H9" t="str">
        <f>Names!J9</f>
        <v>V3W 4N6</v>
      </c>
      <c r="I9" t="str">
        <f>Names!K9</f>
        <v>CA</v>
      </c>
    </row>
    <row r="10" spans="1:9" x14ac:dyDescent="0.3">
      <c r="A10" s="7">
        <v>9</v>
      </c>
      <c r="B10" t="s">
        <v>358</v>
      </c>
      <c r="C10" t="str">
        <f ca="1">Names!F10&amp;" "&amp;INDEX('Restaurant Names'!A$1:A$39,RANDBETWEEN(1,39))</f>
        <v>Gonzalez Cafe</v>
      </c>
      <c r="D10" t="str">
        <f>Names!D10&amp;" "&amp;Names!F10</f>
        <v>Brian Gonzalez</v>
      </c>
      <c r="E10" t="str">
        <f>Names!G10</f>
        <v>728 Glover Road</v>
      </c>
      <c r="F10" t="str">
        <f>Names!H10</f>
        <v>Surrey</v>
      </c>
      <c r="G10" t="str">
        <f>Names!I10</f>
        <v>BC</v>
      </c>
      <c r="H10" t="str">
        <f>Names!J10</f>
        <v>V3S 4C4</v>
      </c>
      <c r="I10" t="str">
        <f>Names!K10</f>
        <v>CA</v>
      </c>
    </row>
    <row r="11" spans="1:9" x14ac:dyDescent="0.3">
      <c r="A11" s="7">
        <v>10</v>
      </c>
      <c r="B11" t="s">
        <v>358</v>
      </c>
      <c r="C11" t="str">
        <f ca="1">Names!F11&amp;" "&amp;INDEX('Restaurant Names'!A$1:A$39,RANDBETWEEN(1,39))</f>
        <v>Colbert Trattoria</v>
      </c>
      <c r="D11" t="str">
        <f>Names!D11&amp;" "&amp;Names!F11</f>
        <v>Michael Colbert</v>
      </c>
      <c r="E11" t="str">
        <f>Names!G11</f>
        <v>2461 Holdom Avenue</v>
      </c>
      <c r="F11" t="str">
        <f>Names!H11</f>
        <v>Surrey</v>
      </c>
      <c r="G11" t="str">
        <f>Names!I11</f>
        <v>BC</v>
      </c>
      <c r="H11" t="str">
        <f>Names!J11</f>
        <v>V3T 4Y5</v>
      </c>
      <c r="I11" t="str">
        <f>Names!K11</f>
        <v>CA</v>
      </c>
    </row>
    <row r="12" spans="1:9" x14ac:dyDescent="0.3">
      <c r="A12" s="7">
        <v>11</v>
      </c>
      <c r="B12" t="s">
        <v>358</v>
      </c>
      <c r="C12" t="str">
        <f ca="1">Names!F12&amp;" "&amp;INDEX('Restaurant Names'!A$1:A$39,RANDBETWEEN(1,39))</f>
        <v>Lisi Eating House</v>
      </c>
      <c r="D12" t="str">
        <f>Names!D12&amp;" "&amp;Names!F12</f>
        <v>Marion Lisi</v>
      </c>
      <c r="E12" t="str">
        <f>Names!G12</f>
        <v>2415 Glover Road</v>
      </c>
      <c r="F12" t="str">
        <f>Names!H12</f>
        <v>Surrey</v>
      </c>
      <c r="G12" t="str">
        <f>Names!I12</f>
        <v>BC</v>
      </c>
      <c r="H12" t="str">
        <f>Names!J12</f>
        <v>V3S 4C4</v>
      </c>
      <c r="I12" t="str">
        <f>Names!K12</f>
        <v>CA</v>
      </c>
    </row>
    <row r="13" spans="1:9" x14ac:dyDescent="0.3">
      <c r="A13" s="7">
        <v>12</v>
      </c>
      <c r="B13" t="s">
        <v>358</v>
      </c>
      <c r="C13" t="str">
        <f ca="1">Names!F13&amp;" "&amp;INDEX('Restaurant Names'!A$1:A$39,RANDBETWEEN(1,39))</f>
        <v>Williams Luncheon</v>
      </c>
      <c r="D13" t="str">
        <f>Names!D13&amp;" "&amp;Names!F13</f>
        <v>Anthony Williams</v>
      </c>
      <c r="E13" t="str">
        <f>Names!G13</f>
        <v>2481 Holdom Avenue</v>
      </c>
      <c r="F13" t="str">
        <f>Names!H13</f>
        <v>Surrey</v>
      </c>
      <c r="G13" t="str">
        <f>Names!I13</f>
        <v>BC</v>
      </c>
      <c r="H13" t="str">
        <f>Names!J13</f>
        <v>V3T 4Y5</v>
      </c>
      <c r="I13" t="str">
        <f>Names!K13</f>
        <v>CA</v>
      </c>
    </row>
    <row r="14" spans="1:9" x14ac:dyDescent="0.3">
      <c r="A14" s="7">
        <v>13</v>
      </c>
      <c r="B14" t="s">
        <v>358</v>
      </c>
      <c r="C14" t="str">
        <f ca="1">Names!F14&amp;" "&amp;INDEX('Restaurant Names'!A$1:A$39,RANDBETWEEN(1,39))</f>
        <v>Peirce Inn</v>
      </c>
      <c r="D14" t="str">
        <f>Names!D14&amp;" "&amp;Names!F14</f>
        <v>Dee Peirce</v>
      </c>
      <c r="E14" t="str">
        <f>Names!G14</f>
        <v>4579 Holdom Avenue</v>
      </c>
      <c r="F14" t="str">
        <f>Names!H14</f>
        <v>Surrey</v>
      </c>
      <c r="G14" t="str">
        <f>Names!I14</f>
        <v>BC</v>
      </c>
      <c r="H14" t="str">
        <f>Names!J14</f>
        <v>V3T 4Y5</v>
      </c>
      <c r="I14" t="str">
        <f>Names!K14</f>
        <v>CA</v>
      </c>
    </row>
    <row r="15" spans="1:9" x14ac:dyDescent="0.3">
      <c r="A15" s="7">
        <v>14</v>
      </c>
      <c r="B15" t="s">
        <v>358</v>
      </c>
      <c r="C15" t="str">
        <f ca="1">Names!F15&amp;" "&amp;INDEX('Restaurant Names'!A$1:A$39,RANDBETWEEN(1,39))</f>
        <v>Knight Shack</v>
      </c>
      <c r="D15" t="str">
        <f>Names!D15&amp;" "&amp;Names!F15</f>
        <v>Ronald Knight</v>
      </c>
      <c r="E15" t="str">
        <f>Names!G15</f>
        <v>3593 King George Hwy</v>
      </c>
      <c r="F15" t="str">
        <f>Names!H15</f>
        <v>Surrey</v>
      </c>
      <c r="G15" t="str">
        <f>Names!I15</f>
        <v>BC</v>
      </c>
      <c r="H15" t="str">
        <f>Names!J15</f>
        <v>V3W 4E3</v>
      </c>
      <c r="I15" t="str">
        <f>Names!K15</f>
        <v>CA</v>
      </c>
    </row>
    <row r="16" spans="1:9" x14ac:dyDescent="0.3">
      <c r="A16" s="7">
        <v>15</v>
      </c>
      <c r="B16" t="s">
        <v>358</v>
      </c>
      <c r="C16" t="str">
        <f ca="1">Names!F16&amp;" "&amp;INDEX('Restaurant Names'!A$1:A$39,RANDBETWEEN(1,39))</f>
        <v>Fulford Stand</v>
      </c>
      <c r="D16" t="str">
        <f>Names!D16&amp;" "&amp;Names!F16</f>
        <v>Monica Fulford</v>
      </c>
      <c r="E16" t="str">
        <f>Names!G16</f>
        <v>3490 Glover Road</v>
      </c>
      <c r="F16" t="str">
        <f>Names!H16</f>
        <v>Surrey</v>
      </c>
      <c r="G16" t="str">
        <f>Names!I16</f>
        <v>BC</v>
      </c>
      <c r="H16" t="str">
        <f>Names!J16</f>
        <v>V3S 4C4</v>
      </c>
      <c r="I16" t="str">
        <f>Names!K16</f>
        <v>CA</v>
      </c>
    </row>
    <row r="17" spans="1:9" x14ac:dyDescent="0.3">
      <c r="A17" s="7">
        <v>16</v>
      </c>
      <c r="B17" t="s">
        <v>358</v>
      </c>
      <c r="C17" t="str">
        <f ca="1">Names!F17&amp;" "&amp;INDEX('Restaurant Names'!A$1:A$39,RANDBETWEEN(1,39))</f>
        <v>Locke Eatry</v>
      </c>
      <c r="D17" t="str">
        <f>Names!D17&amp;" "&amp;Names!F17</f>
        <v>Jerry Locke</v>
      </c>
      <c r="E17" t="str">
        <f>Names!G17</f>
        <v>2645 King George Hwy</v>
      </c>
      <c r="F17" t="str">
        <f>Names!H17</f>
        <v>Surrey</v>
      </c>
      <c r="G17" t="str">
        <f>Names!I17</f>
        <v>BC</v>
      </c>
      <c r="H17" t="str">
        <f>Names!J17</f>
        <v>V3W 4E3</v>
      </c>
      <c r="I17" t="str">
        <f>Names!K17</f>
        <v>CA</v>
      </c>
    </row>
    <row r="18" spans="1:9" x14ac:dyDescent="0.3">
      <c r="A18" s="7">
        <v>17</v>
      </c>
      <c r="B18" t="s">
        <v>358</v>
      </c>
      <c r="C18" t="str">
        <f ca="1">Names!F18&amp;" "&amp;INDEX('Restaurant Names'!A$1:A$39,RANDBETWEEN(1,39))</f>
        <v>Lloyd Sandwich Shop</v>
      </c>
      <c r="D18" t="str">
        <f>Names!D18&amp;" "&amp;Names!F18</f>
        <v>Angela Lloyd</v>
      </c>
      <c r="E18" t="str">
        <f>Names!G18</f>
        <v>3522 Glover Road</v>
      </c>
      <c r="F18" t="str">
        <f>Names!H18</f>
        <v>Surrey</v>
      </c>
      <c r="G18" t="str">
        <f>Names!I18</f>
        <v>BC</v>
      </c>
      <c r="H18" t="str">
        <f>Names!J18</f>
        <v>V3W 4N6</v>
      </c>
      <c r="I18" t="str">
        <f>Names!K18</f>
        <v>CA</v>
      </c>
    </row>
    <row r="19" spans="1:9" x14ac:dyDescent="0.3">
      <c r="A19" s="7">
        <v>18</v>
      </c>
      <c r="B19" t="s">
        <v>358</v>
      </c>
      <c r="C19" t="str">
        <f ca="1">Names!F19&amp;" "&amp;INDEX('Restaurant Names'!A$1:A$39,RANDBETWEEN(1,39))</f>
        <v>Gleason Ratskeller</v>
      </c>
      <c r="D19" t="str">
        <f>Names!D19&amp;" "&amp;Names!F19</f>
        <v>Albert Gleason</v>
      </c>
      <c r="E19" t="str">
        <f>Names!G19</f>
        <v>4945 King George Hwy</v>
      </c>
      <c r="F19" t="str">
        <f>Names!H19</f>
        <v>Surrey</v>
      </c>
      <c r="G19" t="str">
        <f>Names!I19</f>
        <v>BC</v>
      </c>
      <c r="H19" t="str">
        <f>Names!J19</f>
        <v>V3W 4E3</v>
      </c>
      <c r="I19" t="str">
        <f>Names!K19</f>
        <v>CA</v>
      </c>
    </row>
    <row r="20" spans="1:9" x14ac:dyDescent="0.3">
      <c r="A20" s="7">
        <v>19</v>
      </c>
      <c r="B20" t="s">
        <v>358</v>
      </c>
      <c r="C20" t="str">
        <f ca="1">Names!F20&amp;" "&amp;INDEX('Restaurant Names'!A$1:A$39,RANDBETWEEN(1,39))</f>
        <v>Bumpers Grill</v>
      </c>
      <c r="D20" t="str">
        <f>Names!D20&amp;" "&amp;Names!F20</f>
        <v>Kelly Bumpers</v>
      </c>
      <c r="E20" t="str">
        <f>Names!G20</f>
        <v>1588 King George Hwy</v>
      </c>
      <c r="F20" t="str">
        <f>Names!H20</f>
        <v>Surrey</v>
      </c>
      <c r="G20" t="str">
        <f>Names!I20</f>
        <v>BC</v>
      </c>
      <c r="H20" t="str">
        <f>Names!J20</f>
        <v>V3W 4E3</v>
      </c>
      <c r="I20" t="str">
        <f>Names!K20</f>
        <v>CA</v>
      </c>
    </row>
    <row r="21" spans="1:9" x14ac:dyDescent="0.3">
      <c r="A21" s="7">
        <v>20</v>
      </c>
      <c r="B21" t="s">
        <v>358</v>
      </c>
      <c r="C21" t="str">
        <f ca="1">Names!F21&amp;" "&amp;INDEX('Restaurant Names'!A$1:A$39,RANDBETWEEN(1,39))</f>
        <v>Rodriguez Restaurant</v>
      </c>
      <c r="D21" t="str">
        <f>Names!D21&amp;" "&amp;Names!F21</f>
        <v>Dorothy Rodriguez</v>
      </c>
      <c r="E21" t="str">
        <f>Names!G21</f>
        <v>1172 Holdom Avenue</v>
      </c>
      <c r="F21" t="str">
        <f>Names!H21</f>
        <v>Surrey</v>
      </c>
      <c r="G21" t="str">
        <f>Names!I21</f>
        <v>BC</v>
      </c>
      <c r="H21" t="str">
        <f>Names!J21</f>
        <v>V3T 4Y5</v>
      </c>
      <c r="I21" t="str">
        <f>Names!K21</f>
        <v>CA</v>
      </c>
    </row>
    <row r="22" spans="1:9" x14ac:dyDescent="0.3">
      <c r="A22" s="7">
        <v>21</v>
      </c>
      <c r="B22" t="s">
        <v>358</v>
      </c>
      <c r="C22" t="str">
        <f ca="1">Names!F22&amp;" "&amp;INDEX('Restaurant Names'!A$1:A$39,RANDBETWEEN(1,39))</f>
        <v>Martin Booze and Food</v>
      </c>
      <c r="D22" t="str">
        <f>Names!D22&amp;" "&amp;Names!F22</f>
        <v>Alice Martin</v>
      </c>
      <c r="E22" t="str">
        <f>Names!G22</f>
        <v>3490 King George Hwy</v>
      </c>
      <c r="F22" t="str">
        <f>Names!H22</f>
        <v>Surrey</v>
      </c>
      <c r="G22" t="str">
        <f>Names!I22</f>
        <v>BC</v>
      </c>
      <c r="H22" t="str">
        <f>Names!J22</f>
        <v>V3W 4E3</v>
      </c>
      <c r="I22" t="str">
        <f>Names!K22</f>
        <v>CA</v>
      </c>
    </row>
    <row r="23" spans="1:9" x14ac:dyDescent="0.3">
      <c r="A23" s="7">
        <v>22</v>
      </c>
      <c r="B23" t="s">
        <v>358</v>
      </c>
      <c r="C23" t="str">
        <f ca="1">Names!F23&amp;" "&amp;INDEX('Restaurant Names'!A$1:A$39,RANDBETWEEN(1,39))</f>
        <v>Wright Sandwich Shop</v>
      </c>
      <c r="D23" t="str">
        <f>Names!D23&amp;" "&amp;Names!F23</f>
        <v>Casey Wright</v>
      </c>
      <c r="E23" t="str">
        <f>Names!G23</f>
        <v>2177 Holdom Avenue</v>
      </c>
      <c r="F23" t="str">
        <f>Names!H23</f>
        <v>Surrey</v>
      </c>
      <c r="G23" t="str">
        <f>Names!I23</f>
        <v>BC</v>
      </c>
      <c r="H23" t="str">
        <f>Names!J23</f>
        <v>V3T 4Y5</v>
      </c>
      <c r="I23" t="str">
        <f>Names!K23</f>
        <v>CA</v>
      </c>
    </row>
    <row r="24" spans="1:9" x14ac:dyDescent="0.3">
      <c r="A24" s="7">
        <v>23</v>
      </c>
      <c r="B24" t="s">
        <v>358</v>
      </c>
      <c r="C24" t="str">
        <f ca="1">Names!F24&amp;" "&amp;INDEX('Restaurant Names'!A$1:A$39,RANDBETWEEN(1,39))</f>
        <v>Shook Ratskeller</v>
      </c>
      <c r="D24" t="str">
        <f>Names!D24&amp;" "&amp;Names!F24</f>
        <v>Daniel Shook</v>
      </c>
      <c r="E24" t="str">
        <f>Names!G24</f>
        <v>3484 Holdom Avenue</v>
      </c>
      <c r="F24" t="str">
        <f>Names!H24</f>
        <v>Surrey</v>
      </c>
      <c r="G24" t="str">
        <f>Names!I24</f>
        <v>BC</v>
      </c>
      <c r="H24" t="str">
        <f>Names!J24</f>
        <v>V3T 4Y5</v>
      </c>
      <c r="I24" t="str">
        <f>Names!K24</f>
        <v>CA</v>
      </c>
    </row>
    <row r="25" spans="1:9" x14ac:dyDescent="0.3">
      <c r="A25" s="7">
        <v>24</v>
      </c>
      <c r="B25" t="s">
        <v>358</v>
      </c>
      <c r="C25" t="str">
        <f ca="1">Names!F25&amp;" "&amp;INDEX('Restaurant Names'!A$1:A$39,RANDBETWEEN(1,39))</f>
        <v>Cleary Grill</v>
      </c>
      <c r="D25" t="str">
        <f>Names!D25&amp;" "&amp;Names!F25</f>
        <v>Amanda Cleary</v>
      </c>
      <c r="E25" t="str">
        <f>Names!G25</f>
        <v>3626 Holdom Avenue</v>
      </c>
      <c r="F25" t="str">
        <f>Names!H25</f>
        <v>Surrey</v>
      </c>
      <c r="G25" t="str">
        <f>Names!I25</f>
        <v>BC</v>
      </c>
      <c r="H25" t="str">
        <f>Names!J25</f>
        <v>V3T 4Y5</v>
      </c>
      <c r="I25" t="str">
        <f>Names!K25</f>
        <v>CA</v>
      </c>
    </row>
    <row r="26" spans="1:9" x14ac:dyDescent="0.3">
      <c r="A26" s="7">
        <v>25</v>
      </c>
      <c r="B26" t="s">
        <v>358</v>
      </c>
      <c r="C26" t="str">
        <f ca="1">Names!F26&amp;" "&amp;INDEX('Restaurant Names'!A$1:A$39,RANDBETWEEN(1,39))</f>
        <v>Bankston Public House</v>
      </c>
      <c r="D26" t="str">
        <f>Names!D26&amp;" "&amp;Names!F26</f>
        <v>Joshua Bankston</v>
      </c>
      <c r="E26" t="str">
        <f>Names!G26</f>
        <v>1489 Holdom Avenue</v>
      </c>
      <c r="F26" t="str">
        <f>Names!H26</f>
        <v>Surrey</v>
      </c>
      <c r="G26" t="str">
        <f>Names!I26</f>
        <v>BC</v>
      </c>
      <c r="H26" t="str">
        <f>Names!J26</f>
        <v>V3T 4Y5</v>
      </c>
      <c r="I26" t="str">
        <f>Names!K26</f>
        <v>CA</v>
      </c>
    </row>
    <row r="27" spans="1:9" x14ac:dyDescent="0.3">
      <c r="A27" s="7">
        <v>26</v>
      </c>
      <c r="B27" t="s">
        <v>358</v>
      </c>
      <c r="C27" t="str">
        <f ca="1">Names!F27&amp;" "&amp;INDEX('Restaurant Names'!A$1:A$39,RANDBETWEEN(1,39))</f>
        <v>Pinzon Shack</v>
      </c>
      <c r="D27" t="str">
        <f>Names!D27&amp;" "&amp;Names!F27</f>
        <v>Joyce Pinzon</v>
      </c>
      <c r="E27" t="str">
        <f>Names!G27</f>
        <v>2977 King George Hwy</v>
      </c>
      <c r="F27" t="str">
        <f>Names!H27</f>
        <v>Surrey</v>
      </c>
      <c r="G27" t="str">
        <f>Names!I27</f>
        <v>BC</v>
      </c>
      <c r="H27" t="str">
        <f>Names!J27</f>
        <v>V3W 4E3</v>
      </c>
      <c r="I27" t="str">
        <f>Names!K27</f>
        <v>CA</v>
      </c>
    </row>
    <row r="28" spans="1:9" x14ac:dyDescent="0.3">
      <c r="A28" s="7">
        <v>27</v>
      </c>
      <c r="B28" t="s">
        <v>358</v>
      </c>
      <c r="C28" t="str">
        <f ca="1">Names!F28&amp;" "&amp;INDEX('Restaurant Names'!A$1:A$39,RANDBETWEEN(1,39))</f>
        <v>Elson Coffee</v>
      </c>
      <c r="D28" t="str">
        <f>Names!D28&amp;" "&amp;Names!F28</f>
        <v>Michael Elson</v>
      </c>
      <c r="E28" t="str">
        <f>Names!G28</f>
        <v>4246 King George Hwy</v>
      </c>
      <c r="F28" t="str">
        <f>Names!H28</f>
        <v>Surrey</v>
      </c>
      <c r="G28" t="str">
        <f>Names!I28</f>
        <v>BC</v>
      </c>
      <c r="H28" t="str">
        <f>Names!J28</f>
        <v>V3W 4E3</v>
      </c>
      <c r="I28" t="str">
        <f>Names!K28</f>
        <v>CA</v>
      </c>
    </row>
    <row r="29" spans="1:9" x14ac:dyDescent="0.3">
      <c r="A29" s="7">
        <v>28</v>
      </c>
      <c r="B29" t="s">
        <v>358</v>
      </c>
      <c r="C29" t="str">
        <f ca="1">Names!F29&amp;" "&amp;INDEX('Restaurant Names'!A$1:A$39,RANDBETWEEN(1,39))</f>
        <v>Blunt Sandwich Shop</v>
      </c>
      <c r="D29" t="str">
        <f>Names!D29&amp;" "&amp;Names!F29</f>
        <v>Patricia Blunt</v>
      </c>
      <c r="E29" t="str">
        <f>Names!G29</f>
        <v>3436 King George Hwy</v>
      </c>
      <c r="F29" t="str">
        <f>Names!H29</f>
        <v>Surrey</v>
      </c>
      <c r="G29" t="str">
        <f>Names!I29</f>
        <v>BC</v>
      </c>
      <c r="H29" t="str">
        <f>Names!J29</f>
        <v>V3W 4E3</v>
      </c>
      <c r="I29" t="str">
        <f>Names!K29</f>
        <v>CA</v>
      </c>
    </row>
    <row r="30" spans="1:9" x14ac:dyDescent="0.3">
      <c r="A30" s="7">
        <v>29</v>
      </c>
      <c r="B30" t="s">
        <v>358</v>
      </c>
      <c r="C30" t="str">
        <f ca="1">Names!F30&amp;" "&amp;INDEX('Restaurant Names'!A$1:A$39,RANDBETWEEN(1,39))</f>
        <v>Lopez Saloon</v>
      </c>
      <c r="D30" t="str">
        <f>Names!D30&amp;" "&amp;Names!F30</f>
        <v>James Lopez</v>
      </c>
      <c r="E30" t="str">
        <f>Names!G30</f>
        <v>4146 King George Hwy</v>
      </c>
      <c r="F30" t="str">
        <f>Names!H30</f>
        <v>Surrey</v>
      </c>
      <c r="G30" t="str">
        <f>Names!I30</f>
        <v>BC</v>
      </c>
      <c r="H30" t="str">
        <f>Names!J30</f>
        <v>V3W 4E3</v>
      </c>
      <c r="I30" t="str">
        <f>Names!K30</f>
        <v>CA</v>
      </c>
    </row>
    <row r="31" spans="1:9" x14ac:dyDescent="0.3">
      <c r="A31" s="7">
        <v>30</v>
      </c>
      <c r="B31" t="s">
        <v>358</v>
      </c>
      <c r="C31" t="str">
        <f ca="1">Names!F31&amp;" "&amp;INDEX('Restaurant Names'!A$1:A$39,RANDBETWEEN(1,39))</f>
        <v>Griffin Palace</v>
      </c>
      <c r="D31" t="str">
        <f>Names!D31&amp;" "&amp;Names!F31</f>
        <v>Paul Griffin</v>
      </c>
      <c r="E31" t="str">
        <f>Names!G31</f>
        <v>2928 King George Hwy</v>
      </c>
      <c r="F31" t="str">
        <f>Names!H31</f>
        <v>Surrey</v>
      </c>
      <c r="G31" t="str">
        <f>Names!I31</f>
        <v>BC</v>
      </c>
      <c r="H31" t="str">
        <f>Names!J31</f>
        <v>V3W 4E3</v>
      </c>
      <c r="I31" t="str">
        <f>Names!K31</f>
        <v>CA</v>
      </c>
    </row>
    <row r="32" spans="1:9" x14ac:dyDescent="0.3">
      <c r="A32" s="7">
        <v>31</v>
      </c>
      <c r="B32" t="s">
        <v>358</v>
      </c>
      <c r="C32" t="str">
        <f ca="1">Names!F32&amp;" "&amp;INDEX('Restaurant Names'!A$1:A$39,RANDBETWEEN(1,39))</f>
        <v>Bueno Brasserie</v>
      </c>
      <c r="D32" t="str">
        <f>Names!D32&amp;" "&amp;Names!F32</f>
        <v>Ivan Bueno</v>
      </c>
      <c r="E32" t="str">
        <f>Names!G32</f>
        <v>4404 King George Hwy</v>
      </c>
      <c r="F32" t="str">
        <f>Names!H32</f>
        <v>Surrey</v>
      </c>
      <c r="G32" t="str">
        <f>Names!I32</f>
        <v>BC</v>
      </c>
      <c r="H32" t="str">
        <f>Names!J32</f>
        <v>V3W 4E3</v>
      </c>
      <c r="I32" t="str">
        <f>Names!K32</f>
        <v>CA</v>
      </c>
    </row>
    <row r="33" spans="1:9" x14ac:dyDescent="0.3">
      <c r="A33" s="7">
        <v>32</v>
      </c>
      <c r="B33" t="s">
        <v>358</v>
      </c>
      <c r="C33" t="str">
        <f ca="1">Names!F33&amp;" "&amp;INDEX('Restaurant Names'!A$1:A$39,RANDBETWEEN(1,39))</f>
        <v>Diaz Greasy Spoon</v>
      </c>
      <c r="D33" t="str">
        <f>Names!D33&amp;" "&amp;Names!F33</f>
        <v>Paula Diaz</v>
      </c>
      <c r="E33" t="str">
        <f>Names!G33</f>
        <v>4652 Holdom Avenue</v>
      </c>
      <c r="F33" t="str">
        <f>Names!H33</f>
        <v>Surrey</v>
      </c>
      <c r="G33" t="str">
        <f>Names!I33</f>
        <v>BC</v>
      </c>
      <c r="H33" t="str">
        <f>Names!J33</f>
        <v>V3T 4Y5</v>
      </c>
      <c r="I33" t="str">
        <f>Names!K33</f>
        <v>CA</v>
      </c>
    </row>
    <row r="34" spans="1:9" x14ac:dyDescent="0.3">
      <c r="A34" s="7">
        <v>33</v>
      </c>
      <c r="B34" t="s">
        <v>358</v>
      </c>
      <c r="C34" t="str">
        <f ca="1">Names!F34&amp;" "&amp;INDEX('Restaurant Names'!A$1:A$39,RANDBETWEEN(1,39))</f>
        <v>Robertson Saloon</v>
      </c>
      <c r="D34" t="str">
        <f>Names!D34&amp;" "&amp;Names!F34</f>
        <v>Morris Robertson</v>
      </c>
      <c r="E34" t="str">
        <f>Names!G34</f>
        <v>3818 Holdom Avenue</v>
      </c>
      <c r="F34" t="str">
        <f>Names!H34</f>
        <v>Surrey</v>
      </c>
      <c r="G34" t="str">
        <f>Names!I34</f>
        <v>BC</v>
      </c>
      <c r="H34" t="str">
        <f>Names!J34</f>
        <v>V3T 4Y5</v>
      </c>
      <c r="I34" t="str">
        <f>Names!K34</f>
        <v>CA</v>
      </c>
    </row>
    <row r="35" spans="1:9" x14ac:dyDescent="0.3">
      <c r="A35" s="7">
        <v>34</v>
      </c>
      <c r="B35" t="s">
        <v>358</v>
      </c>
      <c r="C35" t="str">
        <f ca="1">Names!F35&amp;" "&amp;INDEX('Restaurant Names'!A$1:A$39,RANDBETWEEN(1,39))</f>
        <v>Jarmon Carryout</v>
      </c>
      <c r="D35" t="str">
        <f>Names!D35&amp;" "&amp;Names!F35</f>
        <v>Richard Jarmon</v>
      </c>
      <c r="E35" t="str">
        <f>Names!G35</f>
        <v>1317 Glover Road</v>
      </c>
      <c r="F35" t="str">
        <f>Names!H35</f>
        <v>Surrey</v>
      </c>
      <c r="G35" t="str">
        <f>Names!I35</f>
        <v>BC</v>
      </c>
      <c r="H35" t="str">
        <f>Names!J35</f>
        <v>V3W 4N6</v>
      </c>
      <c r="I35" t="str">
        <f>Names!K35</f>
        <v>CA</v>
      </c>
    </row>
    <row r="36" spans="1:9" x14ac:dyDescent="0.3">
      <c r="A36" s="7">
        <v>35</v>
      </c>
      <c r="B36" t="s">
        <v>358</v>
      </c>
      <c r="C36" t="str">
        <f ca="1">Names!F36&amp;" "&amp;INDEX('Restaurant Names'!A$1:A$39,RANDBETWEEN(1,39))</f>
        <v>Couch Foods</v>
      </c>
      <c r="D36" t="str">
        <f>Names!D36&amp;" "&amp;Names!F36</f>
        <v>James Couch</v>
      </c>
      <c r="E36" t="str">
        <f>Names!G36</f>
        <v>3122 Glover Road</v>
      </c>
      <c r="F36" t="str">
        <f>Names!H36</f>
        <v>Surrey</v>
      </c>
      <c r="G36" t="str">
        <f>Names!I36</f>
        <v>BC</v>
      </c>
      <c r="H36" t="str">
        <f>Names!J36</f>
        <v>V3S 4C4</v>
      </c>
      <c r="I36" t="str">
        <f>Names!K36</f>
        <v>CA</v>
      </c>
    </row>
    <row r="37" spans="1:9" x14ac:dyDescent="0.3">
      <c r="A37" s="7">
        <v>36</v>
      </c>
      <c r="B37" t="s">
        <v>358</v>
      </c>
      <c r="C37" t="str">
        <f ca="1">Names!F37&amp;" "&amp;INDEX('Restaurant Names'!A$1:A$39,RANDBETWEEN(1,39))</f>
        <v>Jenkins Cafe</v>
      </c>
      <c r="D37" t="str">
        <f>Names!D37&amp;" "&amp;Names!F37</f>
        <v>Mary Jenkins</v>
      </c>
      <c r="E37" t="str">
        <f>Names!G37</f>
        <v>4996 Glover Road</v>
      </c>
      <c r="F37" t="str">
        <f>Names!H37</f>
        <v>Surrey</v>
      </c>
      <c r="G37" t="str">
        <f>Names!I37</f>
        <v>BC</v>
      </c>
      <c r="H37" t="str">
        <f>Names!J37</f>
        <v>V3W 4N6</v>
      </c>
      <c r="I37" t="str">
        <f>Names!K37</f>
        <v>CA</v>
      </c>
    </row>
    <row r="38" spans="1:9" x14ac:dyDescent="0.3">
      <c r="A38" s="7">
        <v>37</v>
      </c>
      <c r="B38" t="s">
        <v>358</v>
      </c>
      <c r="C38" t="str">
        <f ca="1">Names!F38&amp;" "&amp;INDEX('Restaurant Names'!A$1:A$39,RANDBETWEEN(1,39))</f>
        <v>Wilcox Shack</v>
      </c>
      <c r="D38" t="str">
        <f>Names!D38&amp;" "&amp;Names!F38</f>
        <v>David Wilcox</v>
      </c>
      <c r="E38" t="str">
        <f>Names!G38</f>
        <v>326 King George Hwy</v>
      </c>
      <c r="F38" t="str">
        <f>Names!H38</f>
        <v>Surrey</v>
      </c>
      <c r="G38" t="str">
        <f>Names!I38</f>
        <v>BC</v>
      </c>
      <c r="H38" t="str">
        <f>Names!J38</f>
        <v>V3W 4E3</v>
      </c>
      <c r="I38" t="str">
        <f>Names!K38</f>
        <v>CA</v>
      </c>
    </row>
    <row r="39" spans="1:9" x14ac:dyDescent="0.3">
      <c r="A39" s="7">
        <v>38</v>
      </c>
      <c r="B39" t="s">
        <v>358</v>
      </c>
      <c r="C39" t="str">
        <f ca="1">Names!F39&amp;" "&amp;INDEX('Restaurant Names'!A$1:A$39,RANDBETWEEN(1,39))</f>
        <v>Strachan Coffee House</v>
      </c>
      <c r="D39" t="str">
        <f>Names!D39&amp;" "&amp;Names!F39</f>
        <v>Brenda Strachan</v>
      </c>
      <c r="E39" t="str">
        <f>Names!G39</f>
        <v>2230 Holdom Avenue</v>
      </c>
      <c r="F39" t="str">
        <f>Names!H39</f>
        <v>Surrey</v>
      </c>
      <c r="G39" t="str">
        <f>Names!I39</f>
        <v>BC</v>
      </c>
      <c r="H39" t="str">
        <f>Names!J39</f>
        <v>V3T 4Y5</v>
      </c>
      <c r="I39" t="str">
        <f>Names!K39</f>
        <v>CA</v>
      </c>
    </row>
    <row r="40" spans="1:9" x14ac:dyDescent="0.3">
      <c r="A40" s="7">
        <v>39</v>
      </c>
      <c r="B40" t="s">
        <v>358</v>
      </c>
      <c r="C40" t="str">
        <f ca="1">Names!F40&amp;" "&amp;INDEX('Restaurant Names'!A$1:A$39,RANDBETWEEN(1,39))</f>
        <v>Voris Name</v>
      </c>
      <c r="D40" t="str">
        <f>Names!D40&amp;" "&amp;Names!F40</f>
        <v>Craig Voris</v>
      </c>
      <c r="E40" t="str">
        <f>Names!G40</f>
        <v>2451 King George Hwy</v>
      </c>
      <c r="F40" t="str">
        <f>Names!H40</f>
        <v>Surrey</v>
      </c>
      <c r="G40" t="str">
        <f>Names!I40</f>
        <v>BC</v>
      </c>
      <c r="H40" t="str">
        <f>Names!J40</f>
        <v>V3W 4E3</v>
      </c>
      <c r="I40" t="str">
        <f>Names!K40</f>
        <v>CA</v>
      </c>
    </row>
    <row r="41" spans="1:9" x14ac:dyDescent="0.3">
      <c r="A41" s="7">
        <v>40</v>
      </c>
      <c r="B41" t="s">
        <v>358</v>
      </c>
      <c r="C41" t="str">
        <f ca="1">Names!F41&amp;" "&amp;INDEX('Restaurant Names'!A$1:A$39,RANDBETWEEN(1,39))</f>
        <v>Worrell Seafood</v>
      </c>
      <c r="D41" t="str">
        <f>Names!D41&amp;" "&amp;Names!F41</f>
        <v>Frances Worrell</v>
      </c>
      <c r="E41" t="str">
        <f>Names!G41</f>
        <v>3644 Holdom Avenue</v>
      </c>
      <c r="F41" t="str">
        <f>Names!H41</f>
        <v>Surrey</v>
      </c>
      <c r="G41" t="str">
        <f>Names!I41</f>
        <v>BC</v>
      </c>
      <c r="H41" t="str">
        <f>Names!J41</f>
        <v>V3T 4Y5</v>
      </c>
      <c r="I41" t="str">
        <f>Names!K41</f>
        <v>CA</v>
      </c>
    </row>
    <row r="42" spans="1:9" x14ac:dyDescent="0.3">
      <c r="A42" s="7">
        <v>41</v>
      </c>
      <c r="B42" t="s">
        <v>358</v>
      </c>
      <c r="C42" t="str">
        <f ca="1">Names!F42&amp;" "&amp;INDEX('Restaurant Names'!A$1:A$39,RANDBETWEEN(1,39))</f>
        <v>Wells Charcuterie</v>
      </c>
      <c r="D42" t="str">
        <f>Names!D42&amp;" "&amp;Names!F42</f>
        <v>Melissa Wells</v>
      </c>
      <c r="E42" t="str">
        <f>Names!G42</f>
        <v>20 Glover Road</v>
      </c>
      <c r="F42" t="str">
        <f>Names!H42</f>
        <v>Surrey</v>
      </c>
      <c r="G42" t="str">
        <f>Names!I42</f>
        <v>BC</v>
      </c>
      <c r="H42" t="str">
        <f>Names!J42</f>
        <v>V3T 2B3</v>
      </c>
      <c r="I42" t="str">
        <f>Names!K42</f>
        <v>CA</v>
      </c>
    </row>
    <row r="43" spans="1:9" x14ac:dyDescent="0.3">
      <c r="A43" s="7">
        <v>42</v>
      </c>
      <c r="B43" t="s">
        <v>358</v>
      </c>
      <c r="C43" t="str">
        <f ca="1">Names!F43&amp;" "&amp;INDEX('Restaurant Names'!A$1:A$39,RANDBETWEEN(1,39))</f>
        <v>Ownby Stand</v>
      </c>
      <c r="D43" t="str">
        <f>Names!D43&amp;" "&amp;Names!F43</f>
        <v>Alice Ownby</v>
      </c>
      <c r="E43" t="str">
        <f>Names!G43</f>
        <v>2394 King George Hwy</v>
      </c>
      <c r="F43" t="str">
        <f>Names!H43</f>
        <v>Surrey</v>
      </c>
      <c r="G43" t="str">
        <f>Names!I43</f>
        <v>BC</v>
      </c>
      <c r="H43" t="str">
        <f>Names!J43</f>
        <v>V3W 4E3</v>
      </c>
      <c r="I43" t="str">
        <f>Names!K43</f>
        <v>CA</v>
      </c>
    </row>
    <row r="44" spans="1:9" x14ac:dyDescent="0.3">
      <c r="A44" s="7">
        <v>43</v>
      </c>
      <c r="B44" t="s">
        <v>358</v>
      </c>
      <c r="C44" t="str">
        <f ca="1">Names!F44&amp;" "&amp;INDEX('Restaurant Names'!A$1:A$39,RANDBETWEEN(1,39))</f>
        <v>Smith Sandwich Shop</v>
      </c>
      <c r="D44" t="str">
        <f>Names!D44&amp;" "&amp;Names!F44</f>
        <v>Joseph Smith</v>
      </c>
      <c r="E44" t="str">
        <f>Names!G44</f>
        <v>2090 Holdom Avenue</v>
      </c>
      <c r="F44" t="str">
        <f>Names!H44</f>
        <v>Surrey</v>
      </c>
      <c r="G44" t="str">
        <f>Names!I44</f>
        <v>BC</v>
      </c>
      <c r="H44" t="str">
        <f>Names!J44</f>
        <v>V3T 4Y5</v>
      </c>
      <c r="I44" t="str">
        <f>Names!K44</f>
        <v>CA</v>
      </c>
    </row>
    <row r="45" spans="1:9" x14ac:dyDescent="0.3">
      <c r="A45" s="7">
        <v>44</v>
      </c>
      <c r="B45" t="s">
        <v>358</v>
      </c>
      <c r="C45" t="str">
        <f ca="1">Names!F45&amp;" "&amp;INDEX('Restaurant Names'!A$1:A$39,RANDBETWEEN(1,39))</f>
        <v>Kelly Cafe</v>
      </c>
      <c r="D45" t="str">
        <f>Names!D45&amp;" "&amp;Names!F45</f>
        <v>Eric Kelly</v>
      </c>
      <c r="E45" t="str">
        <f>Names!G45</f>
        <v>2543 Holdom Avenue</v>
      </c>
      <c r="F45" t="str">
        <f>Names!H45</f>
        <v>Surrey</v>
      </c>
      <c r="G45" t="str">
        <f>Names!I45</f>
        <v>BC</v>
      </c>
      <c r="H45" t="str">
        <f>Names!J45</f>
        <v>V3T 4Y5</v>
      </c>
      <c r="I45" t="str">
        <f>Names!K45</f>
        <v>CA</v>
      </c>
    </row>
    <row r="46" spans="1:9" x14ac:dyDescent="0.3">
      <c r="A46" s="7">
        <v>45</v>
      </c>
      <c r="B46" t="s">
        <v>358</v>
      </c>
      <c r="C46" t="str">
        <f ca="1">Names!F46&amp;" "&amp;INDEX('Restaurant Names'!A$1:A$39,RANDBETWEEN(1,39))</f>
        <v>Iverson Luncheon</v>
      </c>
      <c r="D46" t="str">
        <f>Names!D46&amp;" "&amp;Names!F46</f>
        <v>Evelyn Iverson</v>
      </c>
      <c r="E46" t="str">
        <f>Names!G46</f>
        <v>3498 Holdom Avenue</v>
      </c>
      <c r="F46" t="str">
        <f>Names!H46</f>
        <v>Surrey</v>
      </c>
      <c r="G46" t="str">
        <f>Names!I46</f>
        <v>BC</v>
      </c>
      <c r="H46" t="str">
        <f>Names!J46</f>
        <v>V3T 4Y5</v>
      </c>
      <c r="I46" t="str">
        <f>Names!K46</f>
        <v>CA</v>
      </c>
    </row>
    <row r="47" spans="1:9" x14ac:dyDescent="0.3">
      <c r="A47" s="7">
        <v>46</v>
      </c>
      <c r="B47" t="s">
        <v>358</v>
      </c>
      <c r="C47" t="str">
        <f ca="1">Names!F47&amp;" "&amp;INDEX('Restaurant Names'!A$1:A$39,RANDBETWEEN(1,39))</f>
        <v>Mendez Diner</v>
      </c>
      <c r="D47" t="str">
        <f>Names!D47&amp;" "&amp;Names!F47</f>
        <v>Gina Mendez</v>
      </c>
      <c r="E47" t="str">
        <f>Names!G47</f>
        <v>1091 King George Hwy</v>
      </c>
      <c r="F47" t="str">
        <f>Names!H47</f>
        <v>Surrey</v>
      </c>
      <c r="G47" t="str">
        <f>Names!I47</f>
        <v>BC</v>
      </c>
      <c r="H47" t="str">
        <f>Names!J47</f>
        <v>V3W 4E3</v>
      </c>
      <c r="I47" t="str">
        <f>Names!K47</f>
        <v>CA</v>
      </c>
    </row>
    <row r="48" spans="1:9" x14ac:dyDescent="0.3">
      <c r="A48" s="7">
        <v>47</v>
      </c>
      <c r="B48" t="s">
        <v>358</v>
      </c>
      <c r="C48" t="str">
        <f ca="1">Names!F48&amp;" "&amp;INDEX('Restaurant Names'!A$1:A$39,RANDBETWEEN(1,39))</f>
        <v>Love Bar</v>
      </c>
      <c r="D48" t="str">
        <f>Names!D48&amp;" "&amp;Names!F48</f>
        <v>Elisa Love</v>
      </c>
      <c r="E48" t="str">
        <f>Names!G48</f>
        <v>4974 Holdom Avenue</v>
      </c>
      <c r="F48" t="str">
        <f>Names!H48</f>
        <v>Surrey</v>
      </c>
      <c r="G48" t="str">
        <f>Names!I48</f>
        <v>BC</v>
      </c>
      <c r="H48" t="str">
        <f>Names!J48</f>
        <v>V3T 4Y5</v>
      </c>
      <c r="I48" t="str">
        <f>Names!K48</f>
        <v>CA</v>
      </c>
    </row>
    <row r="49" spans="1:9" x14ac:dyDescent="0.3">
      <c r="A49" s="7">
        <v>48</v>
      </c>
      <c r="B49" t="s">
        <v>358</v>
      </c>
      <c r="C49" t="str">
        <f ca="1">Names!F49&amp;" "&amp;INDEX('Restaurant Names'!A$1:A$39,RANDBETWEEN(1,39))</f>
        <v>Leblanc Grill</v>
      </c>
      <c r="D49" t="str">
        <f>Names!D49&amp;" "&amp;Names!F49</f>
        <v>Avis Leblanc</v>
      </c>
      <c r="E49" t="str">
        <f>Names!G49</f>
        <v>812 Glover Road</v>
      </c>
      <c r="F49" t="str">
        <f>Names!H49</f>
        <v>Surrey</v>
      </c>
      <c r="G49" t="str">
        <f>Names!I49</f>
        <v>BC</v>
      </c>
      <c r="H49" t="str">
        <f>Names!J49</f>
        <v>V3S 4C4</v>
      </c>
      <c r="I49" t="str">
        <f>Names!K49</f>
        <v>CA</v>
      </c>
    </row>
    <row r="50" spans="1:9" x14ac:dyDescent="0.3">
      <c r="A50" s="7">
        <v>49</v>
      </c>
      <c r="B50" t="s">
        <v>358</v>
      </c>
      <c r="C50" t="str">
        <f ca="1">Names!F50&amp;" "&amp;INDEX('Restaurant Names'!A$1:A$39,RANDBETWEEN(1,39))</f>
        <v>Brantley Chophouse</v>
      </c>
      <c r="D50" t="str">
        <f>Names!D50&amp;" "&amp;Names!F50</f>
        <v>Jack Brantley</v>
      </c>
      <c r="E50" t="str">
        <f>Names!G50</f>
        <v>3817 King George Hwy</v>
      </c>
      <c r="F50" t="str">
        <f>Names!H50</f>
        <v>Surrey</v>
      </c>
      <c r="G50" t="str">
        <f>Names!I50</f>
        <v>BC</v>
      </c>
      <c r="H50" t="str">
        <f>Names!J50</f>
        <v>V3W 4E3</v>
      </c>
      <c r="I50" t="str">
        <f>Names!K50</f>
        <v>CA</v>
      </c>
    </row>
    <row r="51" spans="1:9" x14ac:dyDescent="0.3">
      <c r="A51" s="7">
        <v>50</v>
      </c>
      <c r="B51" t="s">
        <v>358</v>
      </c>
      <c r="C51" t="str">
        <f ca="1">Names!F51&amp;" "&amp;INDEX('Restaurant Names'!A$1:A$39,RANDBETWEEN(1,39))</f>
        <v>Franco Charcuterie</v>
      </c>
      <c r="D51" t="str">
        <f>Names!D51&amp;" "&amp;Names!F51</f>
        <v>Randolph Franco</v>
      </c>
      <c r="E51" t="str">
        <f>Names!G51</f>
        <v>2873 Glover Road</v>
      </c>
      <c r="F51" t="str">
        <f>Names!H51</f>
        <v>Surrey</v>
      </c>
      <c r="G51" t="str">
        <f>Names!I51</f>
        <v>BC</v>
      </c>
      <c r="H51" t="str">
        <f>Names!J51</f>
        <v>V3S 4C4</v>
      </c>
      <c r="I51" t="str">
        <f>Names!K51</f>
        <v>CA</v>
      </c>
    </row>
    <row r="52" spans="1:9" x14ac:dyDescent="0.3">
      <c r="A52" s="7">
        <v>51</v>
      </c>
      <c r="B52" t="s">
        <v>358</v>
      </c>
      <c r="C52" t="str">
        <f ca="1">Names!F52&amp;" "&amp;INDEX('Restaurant Names'!A$1:A$39,RANDBETWEEN(1,39))</f>
        <v>Bowman Canteen</v>
      </c>
      <c r="D52" t="str">
        <f>Names!D52&amp;" "&amp;Names!F52</f>
        <v>Jacques Bowman</v>
      </c>
      <c r="E52" t="str">
        <f>Names!G52</f>
        <v>3731 Holdom Avenue</v>
      </c>
      <c r="F52" t="str">
        <f>Names!H52</f>
        <v>Surrey</v>
      </c>
      <c r="G52" t="str">
        <f>Names!I52</f>
        <v>BC</v>
      </c>
      <c r="H52" t="str">
        <f>Names!J52</f>
        <v>V3T 4Y5</v>
      </c>
      <c r="I52" t="str">
        <f>Names!K52</f>
        <v>CA</v>
      </c>
    </row>
    <row r="53" spans="1:9" x14ac:dyDescent="0.3">
      <c r="A53" s="7">
        <v>52</v>
      </c>
      <c r="B53" t="s">
        <v>358</v>
      </c>
      <c r="C53" t="str">
        <f ca="1">Names!F53&amp;" "&amp;INDEX('Restaurant Names'!A$1:A$39,RANDBETWEEN(1,39))</f>
        <v>Solano Foods</v>
      </c>
      <c r="D53" t="str">
        <f>Names!D53&amp;" "&amp;Names!F53</f>
        <v>Richard Solano</v>
      </c>
      <c r="E53" t="str">
        <f>Names!G53</f>
        <v>2039 Holdom Avenue</v>
      </c>
      <c r="F53" t="str">
        <f>Names!H53</f>
        <v>Surrey</v>
      </c>
      <c r="G53" t="str">
        <f>Names!I53</f>
        <v>BC</v>
      </c>
      <c r="H53" t="str">
        <f>Names!J53</f>
        <v>V3T 4Y5</v>
      </c>
      <c r="I53" t="str">
        <f>Names!K53</f>
        <v>CA</v>
      </c>
    </row>
    <row r="54" spans="1:9" x14ac:dyDescent="0.3">
      <c r="A54" s="7">
        <v>53</v>
      </c>
      <c r="B54" t="s">
        <v>358</v>
      </c>
      <c r="C54" t="str">
        <f ca="1">Names!F54&amp;" "&amp;INDEX('Restaurant Names'!A$1:A$39,RANDBETWEEN(1,39))</f>
        <v>Manners Dining Room</v>
      </c>
      <c r="D54" t="str">
        <f>Names!D54&amp;" "&amp;Names!F54</f>
        <v>James Manners</v>
      </c>
      <c r="E54" t="str">
        <f>Names!G54</f>
        <v>3700 Holdom Avenue</v>
      </c>
      <c r="F54" t="str">
        <f>Names!H54</f>
        <v>Surrey</v>
      </c>
      <c r="G54" t="str">
        <f>Names!I54</f>
        <v>BC</v>
      </c>
      <c r="H54" t="str">
        <f>Names!J54</f>
        <v>V3T 4Y5</v>
      </c>
      <c r="I54" t="str">
        <f>Names!K54</f>
        <v>CA</v>
      </c>
    </row>
    <row r="55" spans="1:9" x14ac:dyDescent="0.3">
      <c r="A55" s="7">
        <v>54</v>
      </c>
      <c r="B55" t="s">
        <v>358</v>
      </c>
      <c r="C55" t="str">
        <f ca="1">Names!F55&amp;" "&amp;INDEX('Restaurant Names'!A$1:A$39,RANDBETWEEN(1,39))</f>
        <v>Bertram Carryout</v>
      </c>
      <c r="D55" t="str">
        <f>Names!D55&amp;" "&amp;Names!F55</f>
        <v>Brian Bertram</v>
      </c>
      <c r="E55" t="str">
        <f>Names!G55</f>
        <v>884 King George Hwy</v>
      </c>
      <c r="F55" t="str">
        <f>Names!H55</f>
        <v>Surrey</v>
      </c>
      <c r="G55" t="str">
        <f>Names!I55</f>
        <v>BC</v>
      </c>
      <c r="H55" t="str">
        <f>Names!J55</f>
        <v>V3W 4E3</v>
      </c>
      <c r="I55" t="str">
        <f>Names!K55</f>
        <v>CA</v>
      </c>
    </row>
    <row r="56" spans="1:9" x14ac:dyDescent="0.3">
      <c r="A56" s="7">
        <v>55</v>
      </c>
      <c r="B56" t="s">
        <v>358</v>
      </c>
      <c r="C56" t="str">
        <f ca="1">Names!F56&amp;" "&amp;INDEX('Restaurant Names'!A$1:A$39,RANDBETWEEN(1,39))</f>
        <v>Kenner Stand</v>
      </c>
      <c r="D56" t="str">
        <f>Names!D56&amp;" "&amp;Names!F56</f>
        <v>Darryl Kenner</v>
      </c>
      <c r="E56" t="str">
        <f>Names!G56</f>
        <v>4399 Glover Road</v>
      </c>
      <c r="F56" t="str">
        <f>Names!H56</f>
        <v>Surrey</v>
      </c>
      <c r="G56" t="str">
        <f>Names!I56</f>
        <v>BC</v>
      </c>
      <c r="H56" t="str">
        <f>Names!J56</f>
        <v>V3S 4C4</v>
      </c>
      <c r="I56" t="str">
        <f>Names!K56</f>
        <v>CA</v>
      </c>
    </row>
    <row r="57" spans="1:9" x14ac:dyDescent="0.3">
      <c r="A57" s="7">
        <v>56</v>
      </c>
      <c r="B57" t="s">
        <v>358</v>
      </c>
      <c r="C57" t="str">
        <f ca="1">Names!F57&amp;" "&amp;INDEX('Restaurant Names'!A$1:A$39,RANDBETWEEN(1,39))</f>
        <v>Durbin Seafood</v>
      </c>
      <c r="D57" t="str">
        <f>Names!D57&amp;" "&amp;Names!F57</f>
        <v>Joseph Durbin</v>
      </c>
      <c r="E57" t="str">
        <f>Names!G57</f>
        <v>4447 Holdom Avenue</v>
      </c>
      <c r="F57" t="str">
        <f>Names!H57</f>
        <v>Surrey</v>
      </c>
      <c r="G57" t="str">
        <f>Names!I57</f>
        <v>BC</v>
      </c>
      <c r="H57" t="str">
        <f>Names!J57</f>
        <v>V3T 4Y5</v>
      </c>
      <c r="I57" t="str">
        <f>Names!K57</f>
        <v>CA</v>
      </c>
    </row>
    <row r="58" spans="1:9" x14ac:dyDescent="0.3">
      <c r="A58" s="7">
        <v>57</v>
      </c>
      <c r="B58" t="s">
        <v>358</v>
      </c>
      <c r="C58" t="str">
        <f ca="1">Names!F58&amp;" "&amp;INDEX('Restaurant Names'!A$1:A$39,RANDBETWEEN(1,39))</f>
        <v>Newton Chophouse</v>
      </c>
      <c r="D58" t="str">
        <f>Names!D58&amp;" "&amp;Names!F58</f>
        <v>Aimee Newton</v>
      </c>
      <c r="E58" t="str">
        <f>Names!G58</f>
        <v>854 King George Hwy</v>
      </c>
      <c r="F58" t="str">
        <f>Names!H58</f>
        <v>Surrey</v>
      </c>
      <c r="G58" t="str">
        <f>Names!I58</f>
        <v>BC</v>
      </c>
      <c r="H58" t="str">
        <f>Names!J58</f>
        <v>V3W 4E3</v>
      </c>
      <c r="I58" t="str">
        <f>Names!K58</f>
        <v>CA</v>
      </c>
    </row>
    <row r="59" spans="1:9" x14ac:dyDescent="0.3">
      <c r="A59" s="7">
        <v>58</v>
      </c>
      <c r="B59" t="s">
        <v>358</v>
      </c>
      <c r="C59" t="str">
        <f ca="1">Names!F59&amp;" "&amp;INDEX('Restaurant Names'!A$1:A$39,RANDBETWEEN(1,39))</f>
        <v>Sample Public House</v>
      </c>
      <c r="D59" t="str">
        <f>Names!D59&amp;" "&amp;Names!F59</f>
        <v>Amanda Sample</v>
      </c>
      <c r="E59" t="str">
        <f>Names!G59</f>
        <v>3033 King George Hwy</v>
      </c>
      <c r="F59" t="str">
        <f>Names!H59</f>
        <v>Surrey</v>
      </c>
      <c r="G59" t="str">
        <f>Names!I59</f>
        <v>BC</v>
      </c>
      <c r="H59" t="str">
        <f>Names!J59</f>
        <v>V3W 4E3</v>
      </c>
      <c r="I59" t="str">
        <f>Names!K59</f>
        <v>CA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42125-B436-491F-A9EB-F1851FBEEE64}">
  <dimension ref="A1:D5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" style="7" bestFit="1" customWidth="1"/>
    <col min="2" max="2" width="27.88671875" style="7" bestFit="1" customWidth="1"/>
    <col min="3" max="3" width="22.109375" style="7" bestFit="1" customWidth="1"/>
    <col min="4" max="4" width="22.77734375" style="7" bestFit="1" customWidth="1"/>
    <col min="5" max="16384" width="8.88671875" style="7"/>
  </cols>
  <sheetData>
    <row r="1" spans="1:4" s="8" customFormat="1" x14ac:dyDescent="0.3">
      <c r="A1" s="8" t="s">
        <v>3</v>
      </c>
      <c r="B1" s="8" t="s">
        <v>350</v>
      </c>
      <c r="C1" s="8" t="s">
        <v>359</v>
      </c>
      <c r="D1" s="8" t="s">
        <v>361</v>
      </c>
    </row>
    <row r="2" spans="1:4" x14ac:dyDescent="0.3">
      <c r="A2" s="7">
        <v>1</v>
      </c>
      <c r="B2" s="7" t="s">
        <v>360</v>
      </c>
      <c r="C2" s="7" t="str">
        <f ca="1">'Reg.csv'!C2</f>
        <v>Warner Bar and Grill</v>
      </c>
      <c r="D2" s="7" t="str">
        <f>IF(ISBLANK(Names!AL2),"",Names!AL2)</f>
        <v>Miller &amp; Rhoads</v>
      </c>
    </row>
    <row r="3" spans="1:4" x14ac:dyDescent="0.3">
      <c r="A3" s="7">
        <v>2</v>
      </c>
      <c r="B3" s="7" t="s">
        <v>360</v>
      </c>
      <c r="C3" s="7" t="str">
        <f ca="1">'Reg.csv'!C3</f>
        <v>Seng Dining Hall</v>
      </c>
      <c r="D3" s="7" t="str">
        <f>IF(ISBLANK(Names!AL3),"",Names!AL3)</f>
        <v>Vari-Tec</v>
      </c>
    </row>
    <row r="4" spans="1:4" x14ac:dyDescent="0.3">
      <c r="A4" s="7">
        <v>3</v>
      </c>
      <c r="B4" s="7" t="s">
        <v>360</v>
      </c>
      <c r="C4" s="7" t="str">
        <f ca="1">'Reg.csv'!C4</f>
        <v>Carter Dining Room</v>
      </c>
      <c r="D4" s="7" t="str">
        <f>IF(ISBLANK(Names!AL4),"",Names!AL4)</f>
        <v>Tam's Stationers</v>
      </c>
    </row>
    <row r="5" spans="1:4" x14ac:dyDescent="0.3">
      <c r="A5" s="7">
        <v>4</v>
      </c>
      <c r="B5" s="7" t="s">
        <v>360</v>
      </c>
      <c r="C5" s="7" t="str">
        <f ca="1">'Reg.csv'!C5</f>
        <v>Huerta Foods</v>
      </c>
      <c r="D5" s="7" t="str">
        <f>IF(ISBLANK(Names!AL5),"",Names!AL5)</f>
        <v>Modern Realty</v>
      </c>
    </row>
    <row r="6" spans="1:4" x14ac:dyDescent="0.3">
      <c r="A6" s="7">
        <v>5</v>
      </c>
      <c r="B6" s="7" t="s">
        <v>360</v>
      </c>
      <c r="C6" s="7" t="str">
        <f ca="1">'Reg.csv'!C6</f>
        <v>Gibson Eatry</v>
      </c>
      <c r="D6" s="7" t="str">
        <f>IF(ISBLANK(Names!AL6),"",Names!AL6)</f>
        <v>Tam's Stationers</v>
      </c>
    </row>
    <row r="7" spans="1:4" x14ac:dyDescent="0.3">
      <c r="A7" s="7">
        <v>6</v>
      </c>
      <c r="B7" s="7" t="s">
        <v>360</v>
      </c>
      <c r="C7" s="7" t="str">
        <f ca="1">'Reg.csv'!C7</f>
        <v>Joplin Carryout</v>
      </c>
      <c r="D7" s="7" t="str">
        <f>IF(ISBLANK(Names!AL7),"",Names!AL7)</f>
        <v>Jacob Reed and Sons</v>
      </c>
    </row>
    <row r="8" spans="1:4" x14ac:dyDescent="0.3">
      <c r="A8" s="7">
        <v>7</v>
      </c>
      <c r="B8" s="7" t="s">
        <v>360</v>
      </c>
      <c r="C8" s="7" t="str">
        <f ca="1">'Reg.csv'!C8</f>
        <v>Porter Cafe</v>
      </c>
      <c r="D8" s="7" t="str">
        <f>IF(ISBLANK(Names!AL8),"",Names!AL8)</f>
        <v>Roadhouse Grill</v>
      </c>
    </row>
    <row r="9" spans="1:4" x14ac:dyDescent="0.3">
      <c r="A9" s="7">
        <v>8</v>
      </c>
      <c r="B9" s="7" t="s">
        <v>360</v>
      </c>
      <c r="C9" s="7" t="str">
        <f ca="1">'Reg.csv'!C9</f>
        <v>Harrington Saloon</v>
      </c>
      <c r="D9" s="7" t="str">
        <f>IF(ISBLANK(Names!AL9),"",Names!AL9)</f>
        <v>Forum Cafeterias</v>
      </c>
    </row>
    <row r="10" spans="1:4" x14ac:dyDescent="0.3">
      <c r="A10" s="7">
        <v>9</v>
      </c>
      <c r="B10" s="7" t="s">
        <v>360</v>
      </c>
      <c r="C10" s="7" t="str">
        <f ca="1">'Reg.csv'!C10</f>
        <v>Gonzalez Cafe</v>
      </c>
      <c r="D10" s="7" t="str">
        <f>IF(ISBLANK(Names!AL10),"",Names!AL10)</f>
        <v/>
      </c>
    </row>
    <row r="11" spans="1:4" x14ac:dyDescent="0.3">
      <c r="A11" s="7">
        <v>10</v>
      </c>
      <c r="B11" s="7" t="s">
        <v>360</v>
      </c>
      <c r="C11" s="7" t="str">
        <f ca="1">'Reg.csv'!C11</f>
        <v>Colbert Trattoria</v>
      </c>
      <c r="D11" s="7" t="str">
        <f>IF(ISBLANK(Names!AL11),"",Names!AL11)</f>
        <v/>
      </c>
    </row>
    <row r="12" spans="1:4" x14ac:dyDescent="0.3">
      <c r="A12" s="7">
        <v>11</v>
      </c>
      <c r="B12" s="7" t="s">
        <v>360</v>
      </c>
      <c r="C12" s="7" t="str">
        <f ca="1">'Reg.csv'!C12</f>
        <v>Lisi Eating House</v>
      </c>
      <c r="D12" s="7" t="str">
        <f>IF(ISBLANK(Names!AL12),"",Names!AL12)</f>
        <v/>
      </c>
    </row>
    <row r="13" spans="1:4" x14ac:dyDescent="0.3">
      <c r="A13" s="7">
        <v>12</v>
      </c>
      <c r="B13" s="7" t="s">
        <v>360</v>
      </c>
      <c r="C13" s="7" t="str">
        <f ca="1">'Reg.csv'!C13</f>
        <v>Williams Luncheon</v>
      </c>
      <c r="D13" s="7" t="str">
        <f>IF(ISBLANK(Names!AL13),"",Names!AL13)</f>
        <v/>
      </c>
    </row>
    <row r="14" spans="1:4" x14ac:dyDescent="0.3">
      <c r="A14" s="7">
        <v>13</v>
      </c>
      <c r="B14" s="7" t="s">
        <v>360</v>
      </c>
      <c r="C14" s="7" t="str">
        <f ca="1">'Reg.csv'!C14</f>
        <v>Peirce Inn</v>
      </c>
      <c r="D14" s="7" t="str">
        <f>IF(ISBLANK(Names!AL14),"",Names!AL14)</f>
        <v/>
      </c>
    </row>
    <row r="15" spans="1:4" x14ac:dyDescent="0.3">
      <c r="A15" s="7">
        <v>14</v>
      </c>
      <c r="B15" s="7" t="s">
        <v>360</v>
      </c>
      <c r="C15" s="7" t="str">
        <f ca="1">'Reg.csv'!C15</f>
        <v>Knight Shack</v>
      </c>
      <c r="D15" s="7" t="str">
        <f>IF(ISBLANK(Names!AL15),"",Names!AL15)</f>
        <v/>
      </c>
    </row>
    <row r="16" spans="1:4" x14ac:dyDescent="0.3">
      <c r="A16" s="7">
        <v>15</v>
      </c>
      <c r="B16" s="7" t="s">
        <v>360</v>
      </c>
      <c r="C16" s="7" t="str">
        <f ca="1">'Reg.csv'!C16</f>
        <v>Fulford Stand</v>
      </c>
      <c r="D16" s="7" t="str">
        <f>IF(ISBLANK(Names!AL16),"",Names!AL16)</f>
        <v/>
      </c>
    </row>
    <row r="17" spans="1:4" x14ac:dyDescent="0.3">
      <c r="A17" s="7">
        <v>16</v>
      </c>
      <c r="B17" s="7" t="s">
        <v>360</v>
      </c>
      <c r="C17" s="7" t="str">
        <f ca="1">'Reg.csv'!C17</f>
        <v>Locke Eatry</v>
      </c>
      <c r="D17" s="7" t="str">
        <f>IF(ISBLANK(Names!AL17),"",Names!AL17)</f>
        <v/>
      </c>
    </row>
    <row r="18" spans="1:4" x14ac:dyDescent="0.3">
      <c r="A18" s="7">
        <v>17</v>
      </c>
      <c r="B18" s="7" t="s">
        <v>360</v>
      </c>
      <c r="C18" s="7" t="str">
        <f ca="1">'Reg.csv'!C18</f>
        <v>Lloyd Sandwich Shop</v>
      </c>
      <c r="D18" s="7" t="str">
        <f>IF(ISBLANK(Names!AL18),"",Names!AL18)</f>
        <v/>
      </c>
    </row>
    <row r="19" spans="1:4" x14ac:dyDescent="0.3">
      <c r="A19" s="7">
        <v>18</v>
      </c>
      <c r="B19" s="7" t="s">
        <v>360</v>
      </c>
      <c r="C19" s="7" t="str">
        <f ca="1">'Reg.csv'!C19</f>
        <v>Gleason Ratskeller</v>
      </c>
      <c r="D19" s="7" t="str">
        <f>IF(ISBLANK(Names!AL19),"",Names!AL19)</f>
        <v/>
      </c>
    </row>
    <row r="20" spans="1:4" x14ac:dyDescent="0.3">
      <c r="A20" s="7">
        <v>19</v>
      </c>
      <c r="B20" s="7" t="s">
        <v>360</v>
      </c>
      <c r="C20" s="7" t="str">
        <f ca="1">'Reg.csv'!C20</f>
        <v>Bumpers Grill</v>
      </c>
      <c r="D20" s="7" t="str">
        <f>IF(ISBLANK(Names!AL20),"",Names!AL20)</f>
        <v/>
      </c>
    </row>
    <row r="21" spans="1:4" x14ac:dyDescent="0.3">
      <c r="A21" s="7">
        <v>20</v>
      </c>
      <c r="B21" s="7" t="s">
        <v>360</v>
      </c>
      <c r="C21" s="7" t="str">
        <f ca="1">'Reg.csv'!C21</f>
        <v>Rodriguez Restaurant</v>
      </c>
      <c r="D21" s="7" t="str">
        <f>IF(ISBLANK(Names!AL21),"",Names!AL21)</f>
        <v/>
      </c>
    </row>
    <row r="22" spans="1:4" x14ac:dyDescent="0.3">
      <c r="A22" s="7">
        <v>21</v>
      </c>
      <c r="B22" s="7" t="s">
        <v>360</v>
      </c>
      <c r="C22" s="7" t="str">
        <f ca="1">'Reg.csv'!C22</f>
        <v>Martin Booze and Food</v>
      </c>
      <c r="D22" s="7" t="str">
        <f>IF(ISBLANK(Names!AL22),"",Names!AL22)</f>
        <v/>
      </c>
    </row>
    <row r="23" spans="1:4" x14ac:dyDescent="0.3">
      <c r="A23" s="7">
        <v>22</v>
      </c>
      <c r="B23" s="7" t="s">
        <v>360</v>
      </c>
      <c r="C23" s="7" t="str">
        <f ca="1">'Reg.csv'!C23</f>
        <v>Wright Sandwich Shop</v>
      </c>
      <c r="D23" s="7" t="str">
        <f>IF(ISBLANK(Names!AL23),"",Names!AL23)</f>
        <v/>
      </c>
    </row>
    <row r="24" spans="1:4" x14ac:dyDescent="0.3">
      <c r="A24" s="7">
        <v>23</v>
      </c>
      <c r="B24" s="7" t="s">
        <v>360</v>
      </c>
      <c r="C24" s="7" t="str">
        <f ca="1">'Reg.csv'!C24</f>
        <v>Shook Ratskeller</v>
      </c>
      <c r="D24" s="7" t="str">
        <f>IF(ISBLANK(Names!AL24),"",Names!AL24)</f>
        <v/>
      </c>
    </row>
    <row r="25" spans="1:4" x14ac:dyDescent="0.3">
      <c r="A25" s="7">
        <v>24</v>
      </c>
      <c r="B25" s="7" t="s">
        <v>360</v>
      </c>
      <c r="C25" s="7" t="str">
        <f ca="1">'Reg.csv'!C25</f>
        <v>Cleary Grill</v>
      </c>
      <c r="D25" s="7" t="str">
        <f>IF(ISBLANK(Names!AL25),"",Names!AL25)</f>
        <v/>
      </c>
    </row>
    <row r="26" spans="1:4" x14ac:dyDescent="0.3">
      <c r="A26" s="7">
        <v>25</v>
      </c>
      <c r="B26" s="7" t="s">
        <v>360</v>
      </c>
      <c r="C26" s="7" t="str">
        <f ca="1">'Reg.csv'!C26</f>
        <v>Bankston Public House</v>
      </c>
      <c r="D26" s="7" t="str">
        <f>IF(ISBLANK(Names!AL26),"",Names!AL26)</f>
        <v/>
      </c>
    </row>
    <row r="27" spans="1:4" x14ac:dyDescent="0.3">
      <c r="A27" s="7">
        <v>26</v>
      </c>
      <c r="B27" s="7" t="s">
        <v>360</v>
      </c>
      <c r="C27" s="7" t="str">
        <f ca="1">'Reg.csv'!C27</f>
        <v>Pinzon Shack</v>
      </c>
      <c r="D27" s="7" t="str">
        <f>IF(ISBLANK(Names!AL27),"",Names!AL27)</f>
        <v/>
      </c>
    </row>
    <row r="28" spans="1:4" x14ac:dyDescent="0.3">
      <c r="A28" s="7">
        <v>27</v>
      </c>
      <c r="B28" s="7" t="s">
        <v>360</v>
      </c>
      <c r="C28" s="7" t="str">
        <f ca="1">'Reg.csv'!C28</f>
        <v>Elson Coffee</v>
      </c>
      <c r="D28" s="7" t="str">
        <f>IF(ISBLANK(Names!AL28),"",Names!AL28)</f>
        <v/>
      </c>
    </row>
    <row r="29" spans="1:4" x14ac:dyDescent="0.3">
      <c r="A29" s="7">
        <v>28</v>
      </c>
      <c r="B29" s="7" t="s">
        <v>360</v>
      </c>
      <c r="C29" s="7" t="str">
        <f ca="1">'Reg.csv'!C29</f>
        <v>Blunt Sandwich Shop</v>
      </c>
      <c r="D29" s="7" t="str">
        <f>IF(ISBLANK(Names!AL29),"",Names!AL29)</f>
        <v/>
      </c>
    </row>
    <row r="30" spans="1:4" x14ac:dyDescent="0.3">
      <c r="A30" s="7">
        <v>29</v>
      </c>
      <c r="B30" s="7" t="s">
        <v>360</v>
      </c>
      <c r="C30" s="7" t="str">
        <f ca="1">'Reg.csv'!C30</f>
        <v>Lopez Saloon</v>
      </c>
      <c r="D30" s="7" t="str">
        <f>IF(ISBLANK(Names!AL30),"",Names!AL30)</f>
        <v/>
      </c>
    </row>
    <row r="31" spans="1:4" x14ac:dyDescent="0.3">
      <c r="A31" s="7">
        <v>30</v>
      </c>
      <c r="B31" s="7" t="s">
        <v>360</v>
      </c>
      <c r="C31" s="7" t="str">
        <f ca="1">'Reg.csv'!C31</f>
        <v>Griffin Palace</v>
      </c>
      <c r="D31" s="7" t="str">
        <f>IF(ISBLANK(Names!AL31),"",Names!AL31)</f>
        <v/>
      </c>
    </row>
    <row r="32" spans="1:4" x14ac:dyDescent="0.3">
      <c r="A32" s="7">
        <v>31</v>
      </c>
      <c r="B32" s="7" t="s">
        <v>360</v>
      </c>
      <c r="C32" s="7" t="str">
        <f ca="1">'Reg.csv'!C32</f>
        <v>Bueno Brasserie</v>
      </c>
      <c r="D32" s="7" t="str">
        <f>IF(ISBLANK(Names!AL32),"",Names!AL32)</f>
        <v/>
      </c>
    </row>
    <row r="33" spans="1:4" x14ac:dyDescent="0.3">
      <c r="A33" s="7">
        <v>32</v>
      </c>
      <c r="B33" s="7" t="s">
        <v>360</v>
      </c>
      <c r="C33" s="7" t="str">
        <f ca="1">'Reg.csv'!C33</f>
        <v>Diaz Greasy Spoon</v>
      </c>
      <c r="D33" s="7" t="str">
        <f>IF(ISBLANK(Names!AL33),"",Names!AL33)</f>
        <v/>
      </c>
    </row>
    <row r="34" spans="1:4" x14ac:dyDescent="0.3">
      <c r="A34" s="7">
        <v>33</v>
      </c>
      <c r="B34" s="7" t="s">
        <v>360</v>
      </c>
      <c r="C34" s="7" t="str">
        <f ca="1">'Reg.csv'!C34</f>
        <v>Robertson Saloon</v>
      </c>
      <c r="D34" s="7" t="str">
        <f>IF(ISBLANK(Names!AL34),"",Names!AL34)</f>
        <v/>
      </c>
    </row>
    <row r="35" spans="1:4" x14ac:dyDescent="0.3">
      <c r="A35" s="7">
        <v>34</v>
      </c>
      <c r="B35" s="7" t="s">
        <v>360</v>
      </c>
      <c r="C35" s="7" t="str">
        <f ca="1">'Reg.csv'!C35</f>
        <v>Jarmon Carryout</v>
      </c>
      <c r="D35" s="7" t="str">
        <f>IF(ISBLANK(Names!AL35),"",Names!AL35)</f>
        <v/>
      </c>
    </row>
    <row r="36" spans="1:4" x14ac:dyDescent="0.3">
      <c r="A36" s="7">
        <v>35</v>
      </c>
      <c r="B36" s="7" t="s">
        <v>360</v>
      </c>
      <c r="C36" s="7" t="str">
        <f ca="1">'Reg.csv'!C36</f>
        <v>Couch Foods</v>
      </c>
      <c r="D36" s="7" t="str">
        <f>IF(ISBLANK(Names!AL36),"",Names!AL36)</f>
        <v/>
      </c>
    </row>
    <row r="37" spans="1:4" x14ac:dyDescent="0.3">
      <c r="A37" s="7">
        <v>36</v>
      </c>
      <c r="B37" s="7" t="s">
        <v>360</v>
      </c>
      <c r="C37" s="7" t="str">
        <f ca="1">'Reg.csv'!C37</f>
        <v>Jenkins Cafe</v>
      </c>
      <c r="D37" s="7" t="str">
        <f>IF(ISBLANK(Names!AL37),"",Names!AL37)</f>
        <v/>
      </c>
    </row>
    <row r="38" spans="1:4" x14ac:dyDescent="0.3">
      <c r="A38" s="7">
        <v>37</v>
      </c>
      <c r="B38" s="7" t="s">
        <v>360</v>
      </c>
      <c r="C38" s="7" t="str">
        <f ca="1">'Reg.csv'!C38</f>
        <v>Wilcox Shack</v>
      </c>
      <c r="D38" s="7" t="str">
        <f>IF(ISBLANK(Names!AL38),"",Names!AL38)</f>
        <v/>
      </c>
    </row>
    <row r="39" spans="1:4" x14ac:dyDescent="0.3">
      <c r="A39" s="7">
        <v>38</v>
      </c>
      <c r="B39" s="7" t="s">
        <v>360</v>
      </c>
      <c r="C39" s="7" t="str">
        <f ca="1">'Reg.csv'!C39</f>
        <v>Strachan Coffee House</v>
      </c>
      <c r="D39" s="7" t="str">
        <f>IF(ISBLANK(Names!AL39),"",Names!AL39)</f>
        <v/>
      </c>
    </row>
    <row r="40" spans="1:4" x14ac:dyDescent="0.3">
      <c r="A40" s="7">
        <v>39</v>
      </c>
      <c r="B40" s="7" t="s">
        <v>360</v>
      </c>
      <c r="C40" s="7" t="str">
        <f ca="1">'Reg.csv'!C40</f>
        <v>Voris Name</v>
      </c>
      <c r="D40" s="7" t="str">
        <f>IF(ISBLANK(Names!AL40),"",Names!AL40)</f>
        <v/>
      </c>
    </row>
    <row r="41" spans="1:4" x14ac:dyDescent="0.3">
      <c r="A41" s="7">
        <v>40</v>
      </c>
      <c r="B41" s="7" t="s">
        <v>360</v>
      </c>
      <c r="C41" s="7" t="str">
        <f ca="1">'Reg.csv'!C41</f>
        <v>Worrell Seafood</v>
      </c>
      <c r="D41" s="7" t="str">
        <f>IF(ISBLANK(Names!AL41),"",Names!AL41)</f>
        <v/>
      </c>
    </row>
    <row r="42" spans="1:4" x14ac:dyDescent="0.3">
      <c r="A42" s="7">
        <v>41</v>
      </c>
      <c r="B42" s="7" t="s">
        <v>360</v>
      </c>
      <c r="C42" s="7" t="str">
        <f ca="1">'Reg.csv'!C42</f>
        <v>Wells Charcuterie</v>
      </c>
      <c r="D42" s="7" t="str">
        <f>IF(ISBLANK(Names!AL42),"",Names!AL42)</f>
        <v/>
      </c>
    </row>
    <row r="43" spans="1:4" x14ac:dyDescent="0.3">
      <c r="A43" s="7">
        <v>42</v>
      </c>
      <c r="B43" s="7" t="s">
        <v>360</v>
      </c>
      <c r="C43" s="7" t="str">
        <f ca="1">'Reg.csv'!C43</f>
        <v>Ownby Stand</v>
      </c>
      <c r="D43" s="7" t="str">
        <f>IF(ISBLANK(Names!AL43),"",Names!AL43)</f>
        <v/>
      </c>
    </row>
    <row r="44" spans="1:4" x14ac:dyDescent="0.3">
      <c r="A44" s="7">
        <v>43</v>
      </c>
      <c r="B44" s="7" t="s">
        <v>360</v>
      </c>
      <c r="C44" s="7" t="str">
        <f ca="1">'Reg.csv'!C44</f>
        <v>Smith Sandwich Shop</v>
      </c>
      <c r="D44" s="7" t="str">
        <f>IF(ISBLANK(Names!AL44),"",Names!AL44)</f>
        <v/>
      </c>
    </row>
    <row r="45" spans="1:4" x14ac:dyDescent="0.3">
      <c r="A45" s="7">
        <v>44</v>
      </c>
      <c r="B45" s="7" t="s">
        <v>360</v>
      </c>
      <c r="C45" s="7" t="str">
        <f ca="1">'Reg.csv'!C45</f>
        <v>Kelly Cafe</v>
      </c>
      <c r="D45" s="7" t="str">
        <f>IF(ISBLANK(Names!AL45),"",Names!AL45)</f>
        <v/>
      </c>
    </row>
    <row r="46" spans="1:4" x14ac:dyDescent="0.3">
      <c r="A46" s="7">
        <v>45</v>
      </c>
      <c r="B46" s="7" t="s">
        <v>360</v>
      </c>
      <c r="C46" s="7" t="str">
        <f ca="1">'Reg.csv'!C46</f>
        <v>Iverson Luncheon</v>
      </c>
      <c r="D46" s="7" t="str">
        <f>IF(ISBLANK(Names!AL46),"",Names!AL46)</f>
        <v/>
      </c>
    </row>
    <row r="47" spans="1:4" x14ac:dyDescent="0.3">
      <c r="A47" s="7">
        <v>46</v>
      </c>
      <c r="B47" s="7" t="s">
        <v>360</v>
      </c>
      <c r="C47" s="7" t="str">
        <f ca="1">'Reg.csv'!C47</f>
        <v>Mendez Diner</v>
      </c>
      <c r="D47" s="7" t="str">
        <f>IF(ISBLANK(Names!AL47),"",Names!AL47)</f>
        <v/>
      </c>
    </row>
    <row r="48" spans="1:4" x14ac:dyDescent="0.3">
      <c r="A48" s="7">
        <v>47</v>
      </c>
      <c r="B48" s="7" t="s">
        <v>360</v>
      </c>
      <c r="C48" s="7" t="str">
        <f ca="1">'Reg.csv'!C48</f>
        <v>Love Bar</v>
      </c>
      <c r="D48" s="7" t="str">
        <f>IF(ISBLANK(Names!AL48),"",Names!AL48)</f>
        <v/>
      </c>
    </row>
    <row r="49" spans="1:4" x14ac:dyDescent="0.3">
      <c r="A49" s="7">
        <v>48</v>
      </c>
      <c r="B49" s="7" t="s">
        <v>360</v>
      </c>
      <c r="C49" s="7" t="str">
        <f ca="1">'Reg.csv'!C49</f>
        <v>Leblanc Grill</v>
      </c>
      <c r="D49" s="7" t="str">
        <f>IF(ISBLANK(Names!AL49),"",Names!AL49)</f>
        <v/>
      </c>
    </row>
    <row r="50" spans="1:4" x14ac:dyDescent="0.3">
      <c r="A50" s="7">
        <v>49</v>
      </c>
      <c r="B50" s="7" t="s">
        <v>360</v>
      </c>
      <c r="C50" s="7" t="str">
        <f ca="1">'Reg.csv'!C50</f>
        <v>Brantley Chophouse</v>
      </c>
      <c r="D50" s="7" t="str">
        <f>IF(ISBLANK(Names!AL50),"",Names!AL50)</f>
        <v/>
      </c>
    </row>
    <row r="51" spans="1:4" x14ac:dyDescent="0.3">
      <c r="A51" s="7">
        <v>50</v>
      </c>
      <c r="B51" s="7" t="s">
        <v>360</v>
      </c>
      <c r="C51" s="7" t="str">
        <f ca="1">'Reg.csv'!C51</f>
        <v>Franco Charcuterie</v>
      </c>
      <c r="D51" s="7" t="str">
        <f>IF(ISBLANK(Names!AL51),"",Names!AL51)</f>
        <v/>
      </c>
    </row>
    <row r="52" spans="1:4" x14ac:dyDescent="0.3">
      <c r="A52" s="7">
        <v>51</v>
      </c>
      <c r="B52" s="7" t="s">
        <v>360</v>
      </c>
      <c r="C52" s="7" t="str">
        <f ca="1">'Reg.csv'!C52</f>
        <v>Bowman Canteen</v>
      </c>
      <c r="D52" s="7" t="str">
        <f>IF(ISBLANK(Names!AL52),"",Names!AL52)</f>
        <v/>
      </c>
    </row>
    <row r="53" spans="1:4" x14ac:dyDescent="0.3">
      <c r="A53" s="7">
        <v>52</v>
      </c>
      <c r="B53" s="7" t="s">
        <v>360</v>
      </c>
      <c r="C53" s="7" t="str">
        <f ca="1">'Reg.csv'!C53</f>
        <v>Solano Foods</v>
      </c>
      <c r="D53" s="7" t="str">
        <f>IF(ISBLANK(Names!AL53),"",Names!AL53)</f>
        <v/>
      </c>
    </row>
    <row r="54" spans="1:4" x14ac:dyDescent="0.3">
      <c r="A54" s="7">
        <v>53</v>
      </c>
      <c r="B54" s="7" t="s">
        <v>360</v>
      </c>
      <c r="C54" s="7" t="str">
        <f ca="1">'Reg.csv'!C54</f>
        <v>Manners Dining Room</v>
      </c>
      <c r="D54" s="7" t="str">
        <f>IF(ISBLANK(Names!AL54),"",Names!AL54)</f>
        <v/>
      </c>
    </row>
    <row r="55" spans="1:4" x14ac:dyDescent="0.3">
      <c r="A55" s="7">
        <v>54</v>
      </c>
      <c r="B55" s="7" t="s">
        <v>360</v>
      </c>
      <c r="C55" s="7" t="str">
        <f ca="1">'Reg.csv'!C55</f>
        <v>Bertram Carryout</v>
      </c>
      <c r="D55" s="7" t="str">
        <f>IF(ISBLANK(Names!AL55),"",Names!AL55)</f>
        <v/>
      </c>
    </row>
    <row r="56" spans="1:4" x14ac:dyDescent="0.3">
      <c r="A56" s="7">
        <v>55</v>
      </c>
      <c r="B56" s="7" t="s">
        <v>360</v>
      </c>
      <c r="C56" s="7" t="str">
        <f ca="1">'Reg.csv'!C56</f>
        <v>Kenner Stand</v>
      </c>
      <c r="D56" s="7" t="str">
        <f>IF(ISBLANK(Names!AL56),"",Names!AL56)</f>
        <v/>
      </c>
    </row>
    <row r="57" spans="1:4" x14ac:dyDescent="0.3">
      <c r="A57" s="7">
        <v>56</v>
      </c>
      <c r="B57" s="7" t="s">
        <v>360</v>
      </c>
      <c r="C57" s="7" t="str">
        <f ca="1">'Reg.csv'!C57</f>
        <v>Durbin Seafood</v>
      </c>
      <c r="D57" s="7" t="str">
        <f>IF(ISBLANK(Names!AL57),"",Names!AL57)</f>
        <v/>
      </c>
    </row>
    <row r="58" spans="1:4" x14ac:dyDescent="0.3">
      <c r="A58" s="7">
        <v>57</v>
      </c>
      <c r="B58" s="7" t="s">
        <v>360</v>
      </c>
      <c r="C58" s="7" t="str">
        <f ca="1">'Reg.csv'!C58</f>
        <v>Newton Chophouse</v>
      </c>
      <c r="D58" s="7" t="str">
        <f>IF(ISBLANK(Names!AL58),"",Names!AL58)</f>
        <v/>
      </c>
    </row>
    <row r="59" spans="1:4" x14ac:dyDescent="0.3">
      <c r="A59" s="7">
        <v>58</v>
      </c>
      <c r="B59" s="7" t="s">
        <v>360</v>
      </c>
      <c r="C59" s="7" t="str">
        <f ca="1">'Reg.csv'!C59</f>
        <v>Sample Public House</v>
      </c>
      <c r="D59" s="7" t="str">
        <f>IF(ISBLANK(Names!AL59),"",Names!AL59)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6A041-115B-4B03-BB37-266A7A73536C}">
  <dimension ref="A1:N59"/>
  <sheetViews>
    <sheetView workbookViewId="0">
      <pane ySplit="1" topLeftCell="A2" activePane="bottomLeft" state="frozen"/>
      <selection activeCell="C1" sqref="C1"/>
      <selection pane="bottomLeft" activeCell="N2" sqref="D2:N59"/>
    </sheetView>
  </sheetViews>
  <sheetFormatPr defaultRowHeight="14.4" x14ac:dyDescent="0.3"/>
  <cols>
    <col min="1" max="1" width="4" style="7" bestFit="1" customWidth="1"/>
    <col min="2" max="2" width="43.6640625" bestFit="1" customWidth="1"/>
    <col min="3" max="3" width="20.77734375" bestFit="1" customWidth="1"/>
    <col min="4" max="4" width="8.5546875" bestFit="1" customWidth="1"/>
    <col min="5" max="5" width="16.5546875" bestFit="1" customWidth="1"/>
    <col min="6" max="6" width="14.88671875" bestFit="1" customWidth="1"/>
    <col min="7" max="7" width="7.33203125" bestFit="1" customWidth="1"/>
    <col min="8" max="8" width="15.77734375" bestFit="1" customWidth="1"/>
    <col min="9" max="9" width="7.88671875" bestFit="1" customWidth="1"/>
    <col min="10" max="10" width="6.77734375" bestFit="1" customWidth="1"/>
    <col min="11" max="11" width="17.21875" bestFit="1" customWidth="1"/>
    <col min="12" max="12" width="7.21875" bestFit="1" customWidth="1"/>
    <col min="13" max="13" width="7.77734375" bestFit="1" customWidth="1"/>
    <col min="14" max="14" width="10.44140625" bestFit="1" customWidth="1"/>
  </cols>
  <sheetData>
    <row r="1" spans="1:14" s="2" customFormat="1" x14ac:dyDescent="0.3">
      <c r="A1" s="8" t="s">
        <v>3</v>
      </c>
      <c r="B1" s="2" t="s">
        <v>350</v>
      </c>
      <c r="C1" s="2" t="s">
        <v>380</v>
      </c>
      <c r="D1" s="2" t="s">
        <v>379</v>
      </c>
      <c r="E1" s="2" t="s">
        <v>378</v>
      </c>
      <c r="F1" s="2" t="s">
        <v>377</v>
      </c>
      <c r="G1" s="2" t="s">
        <v>376</v>
      </c>
      <c r="H1" s="2" t="s">
        <v>375</v>
      </c>
      <c r="I1" s="2" t="s">
        <v>374</v>
      </c>
      <c r="J1" s="2" t="s">
        <v>373</v>
      </c>
      <c r="K1" s="2" t="s">
        <v>372</v>
      </c>
      <c r="L1" s="2" t="s">
        <v>371</v>
      </c>
      <c r="M1" s="2" t="s">
        <v>370</v>
      </c>
      <c r="N1" s="2" t="s">
        <v>369</v>
      </c>
    </row>
    <row r="2" spans="1:14" x14ac:dyDescent="0.3">
      <c r="A2" s="7">
        <v>1</v>
      </c>
      <c r="B2" t="s">
        <v>368</v>
      </c>
      <c r="C2">
        <f ca="1">RANDBETWEEN(3,30)</f>
        <v>27</v>
      </c>
      <c r="D2" s="10" t="s">
        <v>1205</v>
      </c>
      <c r="E2" s="10" t="s">
        <v>1205</v>
      </c>
      <c r="F2" t="str">
        <f ca="1">IF(RANDBETWEEN(1,2)=1,"True","False")</f>
        <v>True</v>
      </c>
      <c r="G2" s="10" t="s">
        <v>1205</v>
      </c>
      <c r="H2" t="str">
        <f ca="1">IF(RANDBETWEEN(1,2)=1,"True","False")</f>
        <v>False</v>
      </c>
      <c r="I2" t="str">
        <f ca="1">IF(RANDBETWEEN(1,5)=1,"True","False")</f>
        <v>False</v>
      </c>
      <c r="J2" s="10" t="s">
        <v>1205</v>
      </c>
      <c r="K2" t="str">
        <f ca="1">IF(RANDBETWEEN(1,3)=1,"True","False")</f>
        <v>False</v>
      </c>
      <c r="L2" t="str">
        <f ca="1">IF(RANDBETWEEN(1,5)=1,"True","False")</f>
        <v>False</v>
      </c>
      <c r="M2" t="str">
        <f ca="1">IF(RANDBETWEEN(1,5)=1,"True","False")</f>
        <v>False</v>
      </c>
      <c r="N2" s="11" t="s">
        <v>1206</v>
      </c>
    </row>
    <row r="3" spans="1:14" x14ac:dyDescent="0.3">
      <c r="A3" s="7">
        <v>2</v>
      </c>
      <c r="B3" t="s">
        <v>368</v>
      </c>
      <c r="C3">
        <f t="shared" ref="C3:C59" ca="1" si="0">RANDBETWEEN(3,30)</f>
        <v>7</v>
      </c>
      <c r="D3" s="10" t="s">
        <v>1205</v>
      </c>
      <c r="E3" s="10" t="s">
        <v>1205</v>
      </c>
      <c r="F3" t="str">
        <f t="shared" ref="F3:F59" ca="1" si="1">IF(RANDBETWEEN(1,2)=1,"True","False")</f>
        <v>False</v>
      </c>
      <c r="G3" s="10" t="s">
        <v>1205</v>
      </c>
      <c r="H3" t="str">
        <f t="shared" ref="H3:H59" ca="1" si="2">IF(RANDBETWEEN(1,2)=1,"True","False")</f>
        <v>False</v>
      </c>
      <c r="I3" t="str">
        <f t="shared" ref="I3:I59" ca="1" si="3">IF(RANDBETWEEN(1,5)=1,"True","False")</f>
        <v>False</v>
      </c>
      <c r="J3" s="10" t="s">
        <v>1205</v>
      </c>
      <c r="K3" t="str">
        <f t="shared" ref="K3:K59" ca="1" si="4">IF(RANDBETWEEN(1,3)=1,"True","False")</f>
        <v>False</v>
      </c>
      <c r="L3" t="str">
        <f t="shared" ref="L3:M34" ca="1" si="5">IF(RANDBETWEEN(1,5)=1,"True","False")</f>
        <v>True</v>
      </c>
      <c r="M3" t="str">
        <f t="shared" ca="1" si="5"/>
        <v>False</v>
      </c>
      <c r="N3" s="11" t="s">
        <v>1206</v>
      </c>
    </row>
    <row r="4" spans="1:14" x14ac:dyDescent="0.3">
      <c r="A4" s="7">
        <v>3</v>
      </c>
      <c r="B4" t="s">
        <v>368</v>
      </c>
      <c r="C4">
        <f t="shared" ca="1" si="0"/>
        <v>25</v>
      </c>
      <c r="D4" s="10" t="s">
        <v>1205</v>
      </c>
      <c r="E4" s="10" t="s">
        <v>1205</v>
      </c>
      <c r="F4" t="str">
        <f t="shared" ca="1" si="1"/>
        <v>True</v>
      </c>
      <c r="G4" s="10" t="s">
        <v>1205</v>
      </c>
      <c r="H4" t="str">
        <f t="shared" ca="1" si="2"/>
        <v>False</v>
      </c>
      <c r="I4" t="str">
        <f t="shared" ca="1" si="3"/>
        <v>False</v>
      </c>
      <c r="J4" s="10" t="s">
        <v>1205</v>
      </c>
      <c r="K4" t="str">
        <f t="shared" ca="1" si="4"/>
        <v>False</v>
      </c>
      <c r="L4" t="str">
        <f t="shared" ca="1" si="5"/>
        <v>False</v>
      </c>
      <c r="M4" t="str">
        <f t="shared" ca="1" si="5"/>
        <v>True</v>
      </c>
      <c r="N4" s="11" t="s">
        <v>1206</v>
      </c>
    </row>
    <row r="5" spans="1:14" x14ac:dyDescent="0.3">
      <c r="A5" s="7">
        <v>4</v>
      </c>
      <c r="B5" t="s">
        <v>368</v>
      </c>
      <c r="C5">
        <f t="shared" ca="1" si="0"/>
        <v>10</v>
      </c>
      <c r="D5" s="10" t="s">
        <v>1205</v>
      </c>
      <c r="E5" s="10" t="s">
        <v>1205</v>
      </c>
      <c r="F5" t="str">
        <f t="shared" ca="1" si="1"/>
        <v>False</v>
      </c>
      <c r="G5" s="10" t="s">
        <v>1205</v>
      </c>
      <c r="H5" t="str">
        <f t="shared" ca="1" si="2"/>
        <v>True</v>
      </c>
      <c r="I5" t="str">
        <f t="shared" ca="1" si="3"/>
        <v>False</v>
      </c>
      <c r="J5" s="10" t="s">
        <v>1205</v>
      </c>
      <c r="K5" t="str">
        <f t="shared" ca="1" si="4"/>
        <v>True</v>
      </c>
      <c r="L5" t="str">
        <f t="shared" ca="1" si="5"/>
        <v>False</v>
      </c>
      <c r="M5" t="str">
        <f t="shared" ca="1" si="5"/>
        <v>False</v>
      </c>
      <c r="N5" s="11" t="s">
        <v>1206</v>
      </c>
    </row>
    <row r="6" spans="1:14" x14ac:dyDescent="0.3">
      <c r="A6" s="7">
        <v>5</v>
      </c>
      <c r="B6" t="s">
        <v>368</v>
      </c>
      <c r="C6">
        <f t="shared" ca="1" si="0"/>
        <v>3</v>
      </c>
      <c r="D6" s="10" t="s">
        <v>1205</v>
      </c>
      <c r="E6" s="10" t="s">
        <v>1205</v>
      </c>
      <c r="F6" t="str">
        <f t="shared" ca="1" si="1"/>
        <v>False</v>
      </c>
      <c r="G6" s="10" t="s">
        <v>1205</v>
      </c>
      <c r="H6" t="str">
        <f t="shared" ca="1" si="2"/>
        <v>True</v>
      </c>
      <c r="I6" t="str">
        <f t="shared" ca="1" si="3"/>
        <v>False</v>
      </c>
      <c r="J6" s="10" t="s">
        <v>1205</v>
      </c>
      <c r="K6" t="str">
        <f t="shared" ca="1" si="4"/>
        <v>False</v>
      </c>
      <c r="L6" t="str">
        <f t="shared" ca="1" si="5"/>
        <v>False</v>
      </c>
      <c r="M6" t="str">
        <f t="shared" ca="1" si="5"/>
        <v>False</v>
      </c>
      <c r="N6" s="11" t="s">
        <v>1206</v>
      </c>
    </row>
    <row r="7" spans="1:14" x14ac:dyDescent="0.3">
      <c r="A7" s="7">
        <v>6</v>
      </c>
      <c r="B7" t="s">
        <v>368</v>
      </c>
      <c r="C7">
        <f t="shared" ca="1" si="0"/>
        <v>18</v>
      </c>
      <c r="D7" s="10" t="s">
        <v>1205</v>
      </c>
      <c r="E7" s="10" t="s">
        <v>1205</v>
      </c>
      <c r="F7" t="str">
        <f t="shared" ca="1" si="1"/>
        <v>True</v>
      </c>
      <c r="G7" s="10" t="s">
        <v>1205</v>
      </c>
      <c r="H7" t="str">
        <f t="shared" ca="1" si="2"/>
        <v>True</v>
      </c>
      <c r="I7" t="str">
        <f t="shared" ca="1" si="3"/>
        <v>True</v>
      </c>
      <c r="J7" s="10" t="s">
        <v>1205</v>
      </c>
      <c r="K7" t="str">
        <f t="shared" ca="1" si="4"/>
        <v>True</v>
      </c>
      <c r="L7" t="str">
        <f t="shared" ca="1" si="5"/>
        <v>False</v>
      </c>
      <c r="M7" t="str">
        <f t="shared" ca="1" si="5"/>
        <v>False</v>
      </c>
      <c r="N7" s="11" t="s">
        <v>1206</v>
      </c>
    </row>
    <row r="8" spans="1:14" x14ac:dyDescent="0.3">
      <c r="A8" s="7">
        <v>7</v>
      </c>
      <c r="B8" t="s">
        <v>368</v>
      </c>
      <c r="C8">
        <f t="shared" ca="1" si="0"/>
        <v>16</v>
      </c>
      <c r="D8" s="10" t="s">
        <v>1205</v>
      </c>
      <c r="E8" s="10" t="s">
        <v>1205</v>
      </c>
      <c r="F8" t="str">
        <f t="shared" ca="1" si="1"/>
        <v>True</v>
      </c>
      <c r="G8" s="10" t="s">
        <v>1205</v>
      </c>
      <c r="H8" t="str">
        <f t="shared" ca="1" si="2"/>
        <v>True</v>
      </c>
      <c r="I8" t="str">
        <f t="shared" ca="1" si="3"/>
        <v>False</v>
      </c>
      <c r="J8" s="10" t="s">
        <v>1205</v>
      </c>
      <c r="K8" t="str">
        <f t="shared" ca="1" si="4"/>
        <v>True</v>
      </c>
      <c r="L8" t="str">
        <f t="shared" ca="1" si="5"/>
        <v>False</v>
      </c>
      <c r="M8" t="str">
        <f t="shared" ca="1" si="5"/>
        <v>False</v>
      </c>
      <c r="N8" s="11" t="s">
        <v>1206</v>
      </c>
    </row>
    <row r="9" spans="1:14" x14ac:dyDescent="0.3">
      <c r="A9" s="7">
        <v>8</v>
      </c>
      <c r="B9" t="s">
        <v>368</v>
      </c>
      <c r="C9">
        <f t="shared" ca="1" si="0"/>
        <v>29</v>
      </c>
      <c r="D9" s="10" t="s">
        <v>1205</v>
      </c>
      <c r="E9" s="10" t="s">
        <v>1205</v>
      </c>
      <c r="F9" t="str">
        <f t="shared" ca="1" si="1"/>
        <v>False</v>
      </c>
      <c r="G9" s="10" t="s">
        <v>1205</v>
      </c>
      <c r="H9" t="str">
        <f t="shared" ca="1" si="2"/>
        <v>False</v>
      </c>
      <c r="I9" t="str">
        <f t="shared" ca="1" si="3"/>
        <v>False</v>
      </c>
      <c r="J9" s="10" t="s">
        <v>1205</v>
      </c>
      <c r="K9" t="str">
        <f t="shared" ca="1" si="4"/>
        <v>False</v>
      </c>
      <c r="L9" t="str">
        <f t="shared" ca="1" si="5"/>
        <v>False</v>
      </c>
      <c r="M9" t="str">
        <f t="shared" ca="1" si="5"/>
        <v>False</v>
      </c>
      <c r="N9" s="11" t="s">
        <v>1206</v>
      </c>
    </row>
    <row r="10" spans="1:14" x14ac:dyDescent="0.3">
      <c r="A10" s="7">
        <v>9</v>
      </c>
      <c r="B10" t="s">
        <v>368</v>
      </c>
      <c r="C10">
        <f t="shared" ca="1" si="0"/>
        <v>30</v>
      </c>
      <c r="D10" s="10" t="s">
        <v>1205</v>
      </c>
      <c r="E10" s="10" t="s">
        <v>1205</v>
      </c>
      <c r="F10" t="str">
        <f t="shared" ca="1" si="1"/>
        <v>True</v>
      </c>
      <c r="G10" s="10" t="s">
        <v>1205</v>
      </c>
      <c r="H10" t="str">
        <f t="shared" ca="1" si="2"/>
        <v>False</v>
      </c>
      <c r="I10" t="str">
        <f t="shared" ca="1" si="3"/>
        <v>False</v>
      </c>
      <c r="J10" s="10" t="s">
        <v>1205</v>
      </c>
      <c r="K10" t="str">
        <f t="shared" ca="1" si="4"/>
        <v>False</v>
      </c>
      <c r="L10" t="str">
        <f t="shared" ca="1" si="5"/>
        <v>False</v>
      </c>
      <c r="M10" t="str">
        <f t="shared" ca="1" si="5"/>
        <v>True</v>
      </c>
      <c r="N10" s="11" t="s">
        <v>1206</v>
      </c>
    </row>
    <row r="11" spans="1:14" x14ac:dyDescent="0.3">
      <c r="A11" s="7">
        <v>10</v>
      </c>
      <c r="B11" t="s">
        <v>368</v>
      </c>
      <c r="C11">
        <f t="shared" ca="1" si="0"/>
        <v>11</v>
      </c>
      <c r="D11" s="10" t="s">
        <v>1205</v>
      </c>
      <c r="E11" s="10" t="s">
        <v>1205</v>
      </c>
      <c r="F11" t="str">
        <f t="shared" ca="1" si="1"/>
        <v>True</v>
      </c>
      <c r="G11" s="10" t="s">
        <v>1205</v>
      </c>
      <c r="H11" t="str">
        <f t="shared" ca="1" si="2"/>
        <v>True</v>
      </c>
      <c r="I11" t="str">
        <f t="shared" ca="1" si="3"/>
        <v>False</v>
      </c>
      <c r="J11" s="10" t="s">
        <v>1205</v>
      </c>
      <c r="K11" t="str">
        <f t="shared" ca="1" si="4"/>
        <v>True</v>
      </c>
      <c r="L11" t="str">
        <f t="shared" ca="1" si="5"/>
        <v>False</v>
      </c>
      <c r="M11" t="str">
        <f t="shared" ca="1" si="5"/>
        <v>False</v>
      </c>
      <c r="N11" s="11" t="s">
        <v>1206</v>
      </c>
    </row>
    <row r="12" spans="1:14" x14ac:dyDescent="0.3">
      <c r="A12" s="7">
        <v>11</v>
      </c>
      <c r="B12" t="s">
        <v>368</v>
      </c>
      <c r="C12">
        <f t="shared" ca="1" si="0"/>
        <v>21</v>
      </c>
      <c r="D12" s="10" t="s">
        <v>1205</v>
      </c>
      <c r="E12" s="10" t="s">
        <v>1205</v>
      </c>
      <c r="F12" t="str">
        <f t="shared" ca="1" si="1"/>
        <v>True</v>
      </c>
      <c r="G12" s="10" t="s">
        <v>1205</v>
      </c>
      <c r="H12" t="str">
        <f t="shared" ca="1" si="2"/>
        <v>False</v>
      </c>
      <c r="I12" t="str">
        <f t="shared" ca="1" si="3"/>
        <v>False</v>
      </c>
      <c r="J12" s="10" t="s">
        <v>1205</v>
      </c>
      <c r="K12" t="str">
        <f t="shared" ca="1" si="4"/>
        <v>False</v>
      </c>
      <c r="L12" t="str">
        <f t="shared" ca="1" si="5"/>
        <v>False</v>
      </c>
      <c r="M12" t="str">
        <f t="shared" ca="1" si="5"/>
        <v>False</v>
      </c>
      <c r="N12" s="11" t="s">
        <v>1206</v>
      </c>
    </row>
    <row r="13" spans="1:14" x14ac:dyDescent="0.3">
      <c r="A13" s="7">
        <v>12</v>
      </c>
      <c r="B13" t="s">
        <v>368</v>
      </c>
      <c r="C13">
        <f t="shared" ca="1" si="0"/>
        <v>25</v>
      </c>
      <c r="D13" s="10" t="s">
        <v>1205</v>
      </c>
      <c r="E13" s="10" t="s">
        <v>1205</v>
      </c>
      <c r="F13" t="str">
        <f t="shared" ca="1" si="1"/>
        <v>False</v>
      </c>
      <c r="G13" s="10" t="s">
        <v>1205</v>
      </c>
      <c r="H13" t="str">
        <f t="shared" ca="1" si="2"/>
        <v>True</v>
      </c>
      <c r="I13" t="str">
        <f t="shared" ca="1" si="3"/>
        <v>False</v>
      </c>
      <c r="J13" s="10" t="s">
        <v>1205</v>
      </c>
      <c r="K13" t="str">
        <f t="shared" ca="1" si="4"/>
        <v>False</v>
      </c>
      <c r="L13" t="str">
        <f t="shared" ca="1" si="5"/>
        <v>False</v>
      </c>
      <c r="M13" t="str">
        <f t="shared" ca="1" si="5"/>
        <v>False</v>
      </c>
      <c r="N13" s="11" t="s">
        <v>1206</v>
      </c>
    </row>
    <row r="14" spans="1:14" x14ac:dyDescent="0.3">
      <c r="A14" s="7">
        <v>13</v>
      </c>
      <c r="B14" t="s">
        <v>368</v>
      </c>
      <c r="C14">
        <f t="shared" ca="1" si="0"/>
        <v>4</v>
      </c>
      <c r="D14" s="10" t="s">
        <v>1205</v>
      </c>
      <c r="E14" s="10" t="s">
        <v>1205</v>
      </c>
      <c r="F14" t="str">
        <f t="shared" ca="1" si="1"/>
        <v>True</v>
      </c>
      <c r="G14" s="10" t="s">
        <v>1205</v>
      </c>
      <c r="H14" t="str">
        <f t="shared" ca="1" si="2"/>
        <v>True</v>
      </c>
      <c r="I14" t="str">
        <f t="shared" ca="1" si="3"/>
        <v>False</v>
      </c>
      <c r="J14" s="10" t="s">
        <v>1205</v>
      </c>
      <c r="K14" t="str">
        <f t="shared" ca="1" si="4"/>
        <v>False</v>
      </c>
      <c r="L14" t="str">
        <f t="shared" ca="1" si="5"/>
        <v>False</v>
      </c>
      <c r="M14" t="str">
        <f t="shared" ca="1" si="5"/>
        <v>False</v>
      </c>
      <c r="N14" s="11" t="s">
        <v>1206</v>
      </c>
    </row>
    <row r="15" spans="1:14" x14ac:dyDescent="0.3">
      <c r="A15" s="7">
        <v>14</v>
      </c>
      <c r="B15" t="s">
        <v>368</v>
      </c>
      <c r="C15">
        <f t="shared" ca="1" si="0"/>
        <v>22</v>
      </c>
      <c r="D15" s="10" t="s">
        <v>1205</v>
      </c>
      <c r="E15" s="10" t="s">
        <v>1205</v>
      </c>
      <c r="F15" t="str">
        <f t="shared" ca="1" si="1"/>
        <v>True</v>
      </c>
      <c r="G15" s="10" t="s">
        <v>1205</v>
      </c>
      <c r="H15" t="str">
        <f t="shared" ca="1" si="2"/>
        <v>True</v>
      </c>
      <c r="I15" t="str">
        <f t="shared" ca="1" si="3"/>
        <v>False</v>
      </c>
      <c r="J15" s="10" t="s">
        <v>1205</v>
      </c>
      <c r="K15" t="str">
        <f t="shared" ca="1" si="4"/>
        <v>False</v>
      </c>
      <c r="L15" t="str">
        <f t="shared" ca="1" si="5"/>
        <v>False</v>
      </c>
      <c r="M15" t="str">
        <f t="shared" ca="1" si="5"/>
        <v>False</v>
      </c>
      <c r="N15" s="11" t="s">
        <v>1206</v>
      </c>
    </row>
    <row r="16" spans="1:14" x14ac:dyDescent="0.3">
      <c r="A16" s="7">
        <v>15</v>
      </c>
      <c r="B16" t="s">
        <v>368</v>
      </c>
      <c r="C16">
        <f t="shared" ca="1" si="0"/>
        <v>22</v>
      </c>
      <c r="D16" s="10" t="s">
        <v>1205</v>
      </c>
      <c r="E16" s="10" t="s">
        <v>1205</v>
      </c>
      <c r="F16" t="str">
        <f t="shared" ca="1" si="1"/>
        <v>False</v>
      </c>
      <c r="G16" s="10" t="s">
        <v>1205</v>
      </c>
      <c r="H16" t="str">
        <f t="shared" ca="1" si="2"/>
        <v>False</v>
      </c>
      <c r="I16" t="str">
        <f t="shared" ca="1" si="3"/>
        <v>False</v>
      </c>
      <c r="J16" s="10" t="s">
        <v>1205</v>
      </c>
      <c r="K16" t="str">
        <f t="shared" ca="1" si="4"/>
        <v>True</v>
      </c>
      <c r="L16" t="str">
        <f t="shared" ca="1" si="5"/>
        <v>False</v>
      </c>
      <c r="M16" t="str">
        <f t="shared" ca="1" si="5"/>
        <v>False</v>
      </c>
      <c r="N16" s="11" t="s">
        <v>1206</v>
      </c>
    </row>
    <row r="17" spans="1:14" x14ac:dyDescent="0.3">
      <c r="A17" s="7">
        <v>16</v>
      </c>
      <c r="B17" t="s">
        <v>368</v>
      </c>
      <c r="C17">
        <f t="shared" ca="1" si="0"/>
        <v>15</v>
      </c>
      <c r="D17" s="10" t="s">
        <v>1205</v>
      </c>
      <c r="E17" s="10" t="s">
        <v>1205</v>
      </c>
      <c r="F17" t="str">
        <f t="shared" ca="1" si="1"/>
        <v>False</v>
      </c>
      <c r="G17" s="10" t="s">
        <v>1205</v>
      </c>
      <c r="H17" t="str">
        <f t="shared" ca="1" si="2"/>
        <v>False</v>
      </c>
      <c r="I17" t="str">
        <f t="shared" ca="1" si="3"/>
        <v>True</v>
      </c>
      <c r="J17" s="10" t="s">
        <v>1205</v>
      </c>
      <c r="K17" t="str">
        <f t="shared" ca="1" si="4"/>
        <v>True</v>
      </c>
      <c r="L17" t="str">
        <f t="shared" ca="1" si="5"/>
        <v>False</v>
      </c>
      <c r="M17" t="str">
        <f t="shared" ca="1" si="5"/>
        <v>False</v>
      </c>
      <c r="N17" s="11" t="s">
        <v>1206</v>
      </c>
    </row>
    <row r="18" spans="1:14" x14ac:dyDescent="0.3">
      <c r="A18" s="7">
        <v>17</v>
      </c>
      <c r="B18" t="s">
        <v>368</v>
      </c>
      <c r="C18">
        <f t="shared" ca="1" si="0"/>
        <v>27</v>
      </c>
      <c r="D18" s="10" t="s">
        <v>1205</v>
      </c>
      <c r="E18" s="10" t="s">
        <v>1205</v>
      </c>
      <c r="F18" t="str">
        <f t="shared" ca="1" si="1"/>
        <v>False</v>
      </c>
      <c r="G18" s="10" t="s">
        <v>1205</v>
      </c>
      <c r="H18" t="str">
        <f t="shared" ca="1" si="2"/>
        <v>False</v>
      </c>
      <c r="I18" t="str">
        <f t="shared" ca="1" si="3"/>
        <v>False</v>
      </c>
      <c r="J18" s="10" t="s">
        <v>1205</v>
      </c>
      <c r="K18" t="str">
        <f t="shared" ca="1" si="4"/>
        <v>False</v>
      </c>
      <c r="L18" t="str">
        <f t="shared" ca="1" si="5"/>
        <v>False</v>
      </c>
      <c r="M18" t="str">
        <f t="shared" ca="1" si="5"/>
        <v>True</v>
      </c>
      <c r="N18" s="11" t="s">
        <v>1206</v>
      </c>
    </row>
    <row r="19" spans="1:14" x14ac:dyDescent="0.3">
      <c r="A19" s="7">
        <v>18</v>
      </c>
      <c r="B19" t="s">
        <v>368</v>
      </c>
      <c r="C19">
        <f t="shared" ca="1" si="0"/>
        <v>21</v>
      </c>
      <c r="D19" s="10" t="s">
        <v>1205</v>
      </c>
      <c r="E19" s="10" t="s">
        <v>1205</v>
      </c>
      <c r="F19" t="str">
        <f t="shared" ca="1" si="1"/>
        <v>True</v>
      </c>
      <c r="G19" s="10" t="s">
        <v>1205</v>
      </c>
      <c r="H19" t="str">
        <f t="shared" ca="1" si="2"/>
        <v>True</v>
      </c>
      <c r="I19" t="str">
        <f t="shared" ca="1" si="3"/>
        <v>False</v>
      </c>
      <c r="J19" s="10" t="s">
        <v>1205</v>
      </c>
      <c r="K19" t="str">
        <f t="shared" ca="1" si="4"/>
        <v>True</v>
      </c>
      <c r="L19" t="str">
        <f t="shared" ca="1" si="5"/>
        <v>True</v>
      </c>
      <c r="M19" t="str">
        <f t="shared" ca="1" si="5"/>
        <v>False</v>
      </c>
      <c r="N19" s="11" t="s">
        <v>1206</v>
      </c>
    </row>
    <row r="20" spans="1:14" x14ac:dyDescent="0.3">
      <c r="A20" s="7">
        <v>19</v>
      </c>
      <c r="B20" t="s">
        <v>368</v>
      </c>
      <c r="C20">
        <f t="shared" ca="1" si="0"/>
        <v>9</v>
      </c>
      <c r="D20" s="10" t="s">
        <v>1205</v>
      </c>
      <c r="E20" s="10" t="s">
        <v>1205</v>
      </c>
      <c r="F20" t="str">
        <f t="shared" ca="1" si="1"/>
        <v>False</v>
      </c>
      <c r="G20" s="10" t="s">
        <v>1205</v>
      </c>
      <c r="H20" t="str">
        <f t="shared" ca="1" si="2"/>
        <v>False</v>
      </c>
      <c r="I20" t="str">
        <f t="shared" ca="1" si="3"/>
        <v>False</v>
      </c>
      <c r="J20" s="10" t="s">
        <v>1205</v>
      </c>
      <c r="K20" t="str">
        <f t="shared" ca="1" si="4"/>
        <v>False</v>
      </c>
      <c r="L20" t="str">
        <f t="shared" ca="1" si="5"/>
        <v>True</v>
      </c>
      <c r="M20" t="str">
        <f t="shared" ca="1" si="5"/>
        <v>False</v>
      </c>
      <c r="N20" s="11" t="s">
        <v>1206</v>
      </c>
    </row>
    <row r="21" spans="1:14" x14ac:dyDescent="0.3">
      <c r="A21" s="7">
        <v>20</v>
      </c>
      <c r="B21" t="s">
        <v>368</v>
      </c>
      <c r="C21">
        <f t="shared" ca="1" si="0"/>
        <v>26</v>
      </c>
      <c r="D21" s="10" t="s">
        <v>1205</v>
      </c>
      <c r="E21" s="10" t="s">
        <v>1205</v>
      </c>
      <c r="F21" t="str">
        <f t="shared" ca="1" si="1"/>
        <v>True</v>
      </c>
      <c r="G21" s="10" t="s">
        <v>1205</v>
      </c>
      <c r="H21" t="str">
        <f t="shared" ca="1" si="2"/>
        <v>False</v>
      </c>
      <c r="I21" t="str">
        <f t="shared" ca="1" si="3"/>
        <v>False</v>
      </c>
      <c r="J21" s="10" t="s">
        <v>1205</v>
      </c>
      <c r="K21" t="str">
        <f t="shared" ca="1" si="4"/>
        <v>True</v>
      </c>
      <c r="L21" t="str">
        <f t="shared" ca="1" si="5"/>
        <v>False</v>
      </c>
      <c r="M21" t="str">
        <f t="shared" ca="1" si="5"/>
        <v>False</v>
      </c>
      <c r="N21" s="11" t="s">
        <v>1206</v>
      </c>
    </row>
    <row r="22" spans="1:14" x14ac:dyDescent="0.3">
      <c r="A22" s="7">
        <v>21</v>
      </c>
      <c r="B22" t="s">
        <v>368</v>
      </c>
      <c r="C22">
        <f t="shared" ca="1" si="0"/>
        <v>4</v>
      </c>
      <c r="D22" s="10" t="s">
        <v>1205</v>
      </c>
      <c r="E22" s="10" t="s">
        <v>1205</v>
      </c>
      <c r="F22" t="str">
        <f t="shared" ca="1" si="1"/>
        <v>False</v>
      </c>
      <c r="G22" s="10" t="s">
        <v>1205</v>
      </c>
      <c r="H22" t="str">
        <f t="shared" ca="1" si="2"/>
        <v>True</v>
      </c>
      <c r="I22" t="str">
        <f t="shared" ca="1" si="3"/>
        <v>False</v>
      </c>
      <c r="J22" s="10" t="s">
        <v>1205</v>
      </c>
      <c r="K22" t="str">
        <f t="shared" ca="1" si="4"/>
        <v>True</v>
      </c>
      <c r="L22" t="str">
        <f t="shared" ca="1" si="5"/>
        <v>False</v>
      </c>
      <c r="M22" t="str">
        <f t="shared" ca="1" si="5"/>
        <v>False</v>
      </c>
      <c r="N22" s="11" t="s">
        <v>1206</v>
      </c>
    </row>
    <row r="23" spans="1:14" x14ac:dyDescent="0.3">
      <c r="A23" s="7">
        <v>22</v>
      </c>
      <c r="B23" t="s">
        <v>368</v>
      </c>
      <c r="C23">
        <f t="shared" ca="1" si="0"/>
        <v>29</v>
      </c>
      <c r="D23" s="10" t="s">
        <v>1205</v>
      </c>
      <c r="E23" s="10" t="s">
        <v>1205</v>
      </c>
      <c r="F23" t="str">
        <f t="shared" ca="1" si="1"/>
        <v>True</v>
      </c>
      <c r="G23" s="10" t="s">
        <v>1205</v>
      </c>
      <c r="H23" t="str">
        <f t="shared" ca="1" si="2"/>
        <v>False</v>
      </c>
      <c r="I23" t="str">
        <f t="shared" ca="1" si="3"/>
        <v>True</v>
      </c>
      <c r="J23" s="10" t="s">
        <v>1205</v>
      </c>
      <c r="K23" t="str">
        <f t="shared" ca="1" si="4"/>
        <v>False</v>
      </c>
      <c r="L23" t="str">
        <f t="shared" ca="1" si="5"/>
        <v>False</v>
      </c>
      <c r="M23" t="str">
        <f t="shared" ca="1" si="5"/>
        <v>False</v>
      </c>
      <c r="N23" s="11" t="s">
        <v>1206</v>
      </c>
    </row>
    <row r="24" spans="1:14" x14ac:dyDescent="0.3">
      <c r="A24" s="7">
        <v>23</v>
      </c>
      <c r="B24" t="s">
        <v>368</v>
      </c>
      <c r="C24">
        <f t="shared" ca="1" si="0"/>
        <v>30</v>
      </c>
      <c r="D24" s="10" t="s">
        <v>1205</v>
      </c>
      <c r="E24" s="10" t="s">
        <v>1205</v>
      </c>
      <c r="F24" t="str">
        <f t="shared" ca="1" si="1"/>
        <v>False</v>
      </c>
      <c r="G24" s="10" t="s">
        <v>1205</v>
      </c>
      <c r="H24" t="str">
        <f t="shared" ca="1" si="2"/>
        <v>True</v>
      </c>
      <c r="I24" t="str">
        <f t="shared" ca="1" si="3"/>
        <v>True</v>
      </c>
      <c r="J24" s="10" t="s">
        <v>1205</v>
      </c>
      <c r="K24" t="str">
        <f t="shared" ca="1" si="4"/>
        <v>False</v>
      </c>
      <c r="L24" t="str">
        <f t="shared" ca="1" si="5"/>
        <v>False</v>
      </c>
      <c r="M24" t="str">
        <f t="shared" ca="1" si="5"/>
        <v>False</v>
      </c>
      <c r="N24" s="11" t="s">
        <v>1206</v>
      </c>
    </row>
    <row r="25" spans="1:14" x14ac:dyDescent="0.3">
      <c r="A25" s="7">
        <v>24</v>
      </c>
      <c r="B25" t="s">
        <v>368</v>
      </c>
      <c r="C25">
        <f t="shared" ca="1" si="0"/>
        <v>28</v>
      </c>
      <c r="D25" s="10" t="s">
        <v>1205</v>
      </c>
      <c r="E25" s="10" t="s">
        <v>1205</v>
      </c>
      <c r="F25" t="str">
        <f t="shared" ca="1" si="1"/>
        <v>False</v>
      </c>
      <c r="G25" s="10" t="s">
        <v>1205</v>
      </c>
      <c r="H25" t="str">
        <f t="shared" ca="1" si="2"/>
        <v>False</v>
      </c>
      <c r="I25" t="str">
        <f t="shared" ca="1" si="3"/>
        <v>False</v>
      </c>
      <c r="J25" s="10" t="s">
        <v>1205</v>
      </c>
      <c r="K25" t="str">
        <f t="shared" ca="1" si="4"/>
        <v>False</v>
      </c>
      <c r="L25" t="str">
        <f t="shared" ca="1" si="5"/>
        <v>True</v>
      </c>
      <c r="M25" t="str">
        <f t="shared" ca="1" si="5"/>
        <v>False</v>
      </c>
      <c r="N25" s="11" t="s">
        <v>1206</v>
      </c>
    </row>
    <row r="26" spans="1:14" x14ac:dyDescent="0.3">
      <c r="A26" s="7">
        <v>25</v>
      </c>
      <c r="B26" t="s">
        <v>368</v>
      </c>
      <c r="C26">
        <f t="shared" ca="1" si="0"/>
        <v>20</v>
      </c>
      <c r="D26" s="10" t="s">
        <v>1205</v>
      </c>
      <c r="E26" s="10" t="s">
        <v>1205</v>
      </c>
      <c r="F26" t="str">
        <f t="shared" ca="1" si="1"/>
        <v>True</v>
      </c>
      <c r="G26" s="10" t="s">
        <v>1205</v>
      </c>
      <c r="H26" t="str">
        <f t="shared" ca="1" si="2"/>
        <v>False</v>
      </c>
      <c r="I26" t="str">
        <f t="shared" ca="1" si="3"/>
        <v>False</v>
      </c>
      <c r="J26" s="10" t="s">
        <v>1205</v>
      </c>
      <c r="K26" t="str">
        <f t="shared" ca="1" si="4"/>
        <v>False</v>
      </c>
      <c r="L26" t="str">
        <f t="shared" ca="1" si="5"/>
        <v>False</v>
      </c>
      <c r="M26" t="str">
        <f t="shared" ca="1" si="5"/>
        <v>False</v>
      </c>
      <c r="N26" s="11" t="s">
        <v>1206</v>
      </c>
    </row>
    <row r="27" spans="1:14" x14ac:dyDescent="0.3">
      <c r="A27" s="7">
        <v>26</v>
      </c>
      <c r="B27" t="s">
        <v>368</v>
      </c>
      <c r="C27">
        <f t="shared" ca="1" si="0"/>
        <v>10</v>
      </c>
      <c r="D27" s="10" t="s">
        <v>1205</v>
      </c>
      <c r="E27" s="10" t="s">
        <v>1205</v>
      </c>
      <c r="F27" t="str">
        <f t="shared" ca="1" si="1"/>
        <v>False</v>
      </c>
      <c r="G27" s="10" t="s">
        <v>1205</v>
      </c>
      <c r="H27" t="str">
        <f t="shared" ca="1" si="2"/>
        <v>True</v>
      </c>
      <c r="I27" t="str">
        <f t="shared" ca="1" si="3"/>
        <v>False</v>
      </c>
      <c r="J27" s="10" t="s">
        <v>1205</v>
      </c>
      <c r="K27" t="str">
        <f t="shared" ca="1" si="4"/>
        <v>False</v>
      </c>
      <c r="L27" t="str">
        <f t="shared" ca="1" si="5"/>
        <v>False</v>
      </c>
      <c r="M27" t="str">
        <f t="shared" ca="1" si="5"/>
        <v>False</v>
      </c>
      <c r="N27" s="11" t="s">
        <v>1206</v>
      </c>
    </row>
    <row r="28" spans="1:14" x14ac:dyDescent="0.3">
      <c r="A28" s="7">
        <v>27</v>
      </c>
      <c r="B28" t="s">
        <v>368</v>
      </c>
      <c r="C28">
        <f t="shared" ca="1" si="0"/>
        <v>14</v>
      </c>
      <c r="D28" s="10" t="s">
        <v>1205</v>
      </c>
      <c r="E28" s="10" t="s">
        <v>1205</v>
      </c>
      <c r="F28" t="str">
        <f t="shared" ca="1" si="1"/>
        <v>False</v>
      </c>
      <c r="G28" s="10" t="s">
        <v>1205</v>
      </c>
      <c r="H28" t="str">
        <f t="shared" ca="1" si="2"/>
        <v>True</v>
      </c>
      <c r="I28" t="str">
        <f t="shared" ca="1" si="3"/>
        <v>False</v>
      </c>
      <c r="J28" s="10" t="s">
        <v>1205</v>
      </c>
      <c r="K28" t="str">
        <f t="shared" ca="1" si="4"/>
        <v>False</v>
      </c>
      <c r="L28" t="str">
        <f t="shared" ca="1" si="5"/>
        <v>False</v>
      </c>
      <c r="M28" t="str">
        <f t="shared" ca="1" si="5"/>
        <v>False</v>
      </c>
      <c r="N28" s="11" t="s">
        <v>1206</v>
      </c>
    </row>
    <row r="29" spans="1:14" x14ac:dyDescent="0.3">
      <c r="A29" s="7">
        <v>28</v>
      </c>
      <c r="B29" t="s">
        <v>368</v>
      </c>
      <c r="C29">
        <f t="shared" ca="1" si="0"/>
        <v>15</v>
      </c>
      <c r="D29" s="10" t="s">
        <v>1205</v>
      </c>
      <c r="E29" s="10" t="s">
        <v>1205</v>
      </c>
      <c r="F29" t="str">
        <f t="shared" ca="1" si="1"/>
        <v>True</v>
      </c>
      <c r="G29" s="10" t="s">
        <v>1205</v>
      </c>
      <c r="H29" t="str">
        <f t="shared" ca="1" si="2"/>
        <v>False</v>
      </c>
      <c r="I29" t="str">
        <f t="shared" ca="1" si="3"/>
        <v>True</v>
      </c>
      <c r="J29" s="10" t="s">
        <v>1205</v>
      </c>
      <c r="K29" t="str">
        <f t="shared" ca="1" si="4"/>
        <v>False</v>
      </c>
      <c r="L29" t="str">
        <f t="shared" ca="1" si="5"/>
        <v>False</v>
      </c>
      <c r="M29" t="str">
        <f t="shared" ca="1" si="5"/>
        <v>False</v>
      </c>
      <c r="N29" s="11" t="s">
        <v>1206</v>
      </c>
    </row>
    <row r="30" spans="1:14" x14ac:dyDescent="0.3">
      <c r="A30" s="7">
        <v>29</v>
      </c>
      <c r="B30" t="s">
        <v>368</v>
      </c>
      <c r="C30">
        <f t="shared" ca="1" si="0"/>
        <v>9</v>
      </c>
      <c r="D30" s="10" t="s">
        <v>1205</v>
      </c>
      <c r="E30" s="10" t="s">
        <v>1205</v>
      </c>
      <c r="F30" t="str">
        <f t="shared" ca="1" si="1"/>
        <v>True</v>
      </c>
      <c r="G30" s="10" t="s">
        <v>1205</v>
      </c>
      <c r="H30" t="str">
        <f t="shared" ca="1" si="2"/>
        <v>True</v>
      </c>
      <c r="I30" t="str">
        <f t="shared" ca="1" si="3"/>
        <v>False</v>
      </c>
      <c r="J30" s="10" t="s">
        <v>1205</v>
      </c>
      <c r="K30" t="str">
        <f t="shared" ca="1" si="4"/>
        <v>False</v>
      </c>
      <c r="L30" t="str">
        <f t="shared" ca="1" si="5"/>
        <v>False</v>
      </c>
      <c r="M30" t="str">
        <f t="shared" ca="1" si="5"/>
        <v>False</v>
      </c>
      <c r="N30" s="11" t="s">
        <v>1206</v>
      </c>
    </row>
    <row r="31" spans="1:14" x14ac:dyDescent="0.3">
      <c r="A31" s="7">
        <v>30</v>
      </c>
      <c r="B31" t="s">
        <v>368</v>
      </c>
      <c r="C31">
        <f t="shared" ca="1" si="0"/>
        <v>17</v>
      </c>
      <c r="D31" s="10" t="s">
        <v>1205</v>
      </c>
      <c r="E31" s="10" t="s">
        <v>1205</v>
      </c>
      <c r="F31" t="str">
        <f t="shared" ca="1" si="1"/>
        <v>True</v>
      </c>
      <c r="G31" s="10" t="s">
        <v>1205</v>
      </c>
      <c r="H31" t="str">
        <f t="shared" ca="1" si="2"/>
        <v>True</v>
      </c>
      <c r="I31" t="str">
        <f t="shared" ca="1" si="3"/>
        <v>False</v>
      </c>
      <c r="J31" s="10" t="s">
        <v>1205</v>
      </c>
      <c r="K31" t="str">
        <f t="shared" ca="1" si="4"/>
        <v>True</v>
      </c>
      <c r="L31" t="str">
        <f t="shared" ca="1" si="5"/>
        <v>False</v>
      </c>
      <c r="M31" t="str">
        <f t="shared" ca="1" si="5"/>
        <v>False</v>
      </c>
      <c r="N31" s="11" t="s">
        <v>1206</v>
      </c>
    </row>
    <row r="32" spans="1:14" x14ac:dyDescent="0.3">
      <c r="A32" s="7">
        <v>31</v>
      </c>
      <c r="B32" t="s">
        <v>368</v>
      </c>
      <c r="C32">
        <f t="shared" ca="1" si="0"/>
        <v>12</v>
      </c>
      <c r="D32" s="10" t="s">
        <v>1205</v>
      </c>
      <c r="E32" s="10" t="s">
        <v>1205</v>
      </c>
      <c r="F32" t="str">
        <f t="shared" ca="1" si="1"/>
        <v>False</v>
      </c>
      <c r="G32" s="10" t="s">
        <v>1205</v>
      </c>
      <c r="H32" t="str">
        <f t="shared" ca="1" si="2"/>
        <v>True</v>
      </c>
      <c r="I32" t="str">
        <f t="shared" ca="1" si="3"/>
        <v>False</v>
      </c>
      <c r="J32" s="10" t="s">
        <v>1205</v>
      </c>
      <c r="K32" t="str">
        <f t="shared" ca="1" si="4"/>
        <v>False</v>
      </c>
      <c r="L32" t="str">
        <f t="shared" ca="1" si="5"/>
        <v>False</v>
      </c>
      <c r="M32" t="str">
        <f t="shared" ca="1" si="5"/>
        <v>False</v>
      </c>
      <c r="N32" s="11" t="s">
        <v>1206</v>
      </c>
    </row>
    <row r="33" spans="1:14" x14ac:dyDescent="0.3">
      <c r="A33" s="7">
        <v>32</v>
      </c>
      <c r="B33" t="s">
        <v>368</v>
      </c>
      <c r="C33">
        <f t="shared" ca="1" si="0"/>
        <v>8</v>
      </c>
      <c r="D33" s="10" t="s">
        <v>1205</v>
      </c>
      <c r="E33" s="10" t="s">
        <v>1205</v>
      </c>
      <c r="F33" t="str">
        <f t="shared" ca="1" si="1"/>
        <v>False</v>
      </c>
      <c r="G33" s="10" t="s">
        <v>1205</v>
      </c>
      <c r="H33" t="str">
        <f t="shared" ca="1" si="2"/>
        <v>False</v>
      </c>
      <c r="I33" t="str">
        <f t="shared" ca="1" si="3"/>
        <v>False</v>
      </c>
      <c r="J33" s="10" t="s">
        <v>1205</v>
      </c>
      <c r="K33" t="str">
        <f t="shared" ca="1" si="4"/>
        <v>False</v>
      </c>
      <c r="L33" t="str">
        <f t="shared" ca="1" si="5"/>
        <v>False</v>
      </c>
      <c r="M33" t="str">
        <f t="shared" ca="1" si="5"/>
        <v>False</v>
      </c>
      <c r="N33" s="11" t="s">
        <v>1206</v>
      </c>
    </row>
    <row r="34" spans="1:14" x14ac:dyDescent="0.3">
      <c r="A34" s="7">
        <v>33</v>
      </c>
      <c r="B34" t="s">
        <v>368</v>
      </c>
      <c r="C34">
        <f t="shared" ca="1" si="0"/>
        <v>10</v>
      </c>
      <c r="D34" s="10" t="s">
        <v>1205</v>
      </c>
      <c r="E34" s="10" t="s">
        <v>1205</v>
      </c>
      <c r="F34" t="str">
        <f t="shared" ca="1" si="1"/>
        <v>False</v>
      </c>
      <c r="G34" s="10" t="s">
        <v>1205</v>
      </c>
      <c r="H34" t="str">
        <f t="shared" ca="1" si="2"/>
        <v>True</v>
      </c>
      <c r="I34" t="str">
        <f t="shared" ca="1" si="3"/>
        <v>False</v>
      </c>
      <c r="J34" s="10" t="s">
        <v>1205</v>
      </c>
      <c r="K34" t="str">
        <f t="shared" ca="1" si="4"/>
        <v>True</v>
      </c>
      <c r="L34" t="str">
        <f t="shared" ca="1" si="5"/>
        <v>True</v>
      </c>
      <c r="M34" t="str">
        <f t="shared" ca="1" si="5"/>
        <v>False</v>
      </c>
      <c r="N34" s="11" t="s">
        <v>1206</v>
      </c>
    </row>
    <row r="35" spans="1:14" x14ac:dyDescent="0.3">
      <c r="A35" s="7">
        <v>34</v>
      </c>
      <c r="B35" t="s">
        <v>368</v>
      </c>
      <c r="C35">
        <f t="shared" ca="1" si="0"/>
        <v>14</v>
      </c>
      <c r="D35" s="10" t="s">
        <v>1205</v>
      </c>
      <c r="E35" s="10" t="s">
        <v>1205</v>
      </c>
      <c r="F35" t="str">
        <f t="shared" ca="1" si="1"/>
        <v>True</v>
      </c>
      <c r="G35" s="10" t="s">
        <v>1205</v>
      </c>
      <c r="H35" t="str">
        <f t="shared" ca="1" si="2"/>
        <v>False</v>
      </c>
      <c r="I35" t="str">
        <f t="shared" ca="1" si="3"/>
        <v>False</v>
      </c>
      <c r="J35" s="10" t="s">
        <v>1205</v>
      </c>
      <c r="K35" t="str">
        <f t="shared" ca="1" si="4"/>
        <v>False</v>
      </c>
      <c r="L35" t="str">
        <f t="shared" ref="L35:M59" ca="1" si="6">IF(RANDBETWEEN(1,5)=1,"True","False")</f>
        <v>False</v>
      </c>
      <c r="M35" t="str">
        <f t="shared" ca="1" si="6"/>
        <v>False</v>
      </c>
      <c r="N35" s="11" t="s">
        <v>1206</v>
      </c>
    </row>
    <row r="36" spans="1:14" x14ac:dyDescent="0.3">
      <c r="A36" s="7">
        <v>35</v>
      </c>
      <c r="B36" t="s">
        <v>368</v>
      </c>
      <c r="C36">
        <f t="shared" ca="1" si="0"/>
        <v>13</v>
      </c>
      <c r="D36" s="10" t="s">
        <v>1205</v>
      </c>
      <c r="E36" s="10" t="s">
        <v>1205</v>
      </c>
      <c r="F36" t="str">
        <f t="shared" ca="1" si="1"/>
        <v>False</v>
      </c>
      <c r="G36" s="10" t="s">
        <v>1205</v>
      </c>
      <c r="H36" t="str">
        <f t="shared" ca="1" si="2"/>
        <v>False</v>
      </c>
      <c r="I36" t="str">
        <f t="shared" ca="1" si="3"/>
        <v>False</v>
      </c>
      <c r="J36" s="10" t="s">
        <v>1205</v>
      </c>
      <c r="K36" t="str">
        <f t="shared" ca="1" si="4"/>
        <v>True</v>
      </c>
      <c r="L36" t="str">
        <f t="shared" ca="1" si="6"/>
        <v>False</v>
      </c>
      <c r="M36" t="str">
        <f t="shared" ca="1" si="6"/>
        <v>False</v>
      </c>
      <c r="N36" s="11" t="s">
        <v>1206</v>
      </c>
    </row>
    <row r="37" spans="1:14" x14ac:dyDescent="0.3">
      <c r="A37" s="7">
        <v>36</v>
      </c>
      <c r="B37" t="s">
        <v>368</v>
      </c>
      <c r="C37">
        <f t="shared" ca="1" si="0"/>
        <v>19</v>
      </c>
      <c r="D37" s="10" t="s">
        <v>1205</v>
      </c>
      <c r="E37" s="10" t="s">
        <v>1205</v>
      </c>
      <c r="F37" t="str">
        <f t="shared" ca="1" si="1"/>
        <v>False</v>
      </c>
      <c r="G37" s="10" t="s">
        <v>1205</v>
      </c>
      <c r="H37" t="str">
        <f t="shared" ca="1" si="2"/>
        <v>False</v>
      </c>
      <c r="I37" t="str">
        <f t="shared" ca="1" si="3"/>
        <v>False</v>
      </c>
      <c r="J37" s="10" t="s">
        <v>1205</v>
      </c>
      <c r="K37" t="str">
        <f t="shared" ca="1" si="4"/>
        <v>False</v>
      </c>
      <c r="L37" t="str">
        <f t="shared" ca="1" si="6"/>
        <v>False</v>
      </c>
      <c r="M37" t="str">
        <f t="shared" ca="1" si="6"/>
        <v>False</v>
      </c>
      <c r="N37" s="11" t="s">
        <v>1206</v>
      </c>
    </row>
    <row r="38" spans="1:14" x14ac:dyDescent="0.3">
      <c r="A38" s="7">
        <v>37</v>
      </c>
      <c r="B38" t="s">
        <v>368</v>
      </c>
      <c r="C38">
        <f t="shared" ca="1" si="0"/>
        <v>8</v>
      </c>
      <c r="D38" s="10" t="s">
        <v>1205</v>
      </c>
      <c r="E38" s="10" t="s">
        <v>1205</v>
      </c>
      <c r="F38" t="str">
        <f t="shared" ca="1" si="1"/>
        <v>True</v>
      </c>
      <c r="G38" s="10" t="s">
        <v>1205</v>
      </c>
      <c r="H38" t="str">
        <f t="shared" ca="1" si="2"/>
        <v>False</v>
      </c>
      <c r="I38" t="str">
        <f t="shared" ca="1" si="3"/>
        <v>False</v>
      </c>
      <c r="J38" s="10" t="s">
        <v>1205</v>
      </c>
      <c r="K38" t="str">
        <f t="shared" ca="1" si="4"/>
        <v>True</v>
      </c>
      <c r="L38" t="str">
        <f t="shared" ca="1" si="6"/>
        <v>False</v>
      </c>
      <c r="M38" t="str">
        <f t="shared" ca="1" si="6"/>
        <v>False</v>
      </c>
      <c r="N38" s="11" t="s">
        <v>1206</v>
      </c>
    </row>
    <row r="39" spans="1:14" x14ac:dyDescent="0.3">
      <c r="A39" s="7">
        <v>38</v>
      </c>
      <c r="B39" t="s">
        <v>368</v>
      </c>
      <c r="C39">
        <f t="shared" ca="1" si="0"/>
        <v>29</v>
      </c>
      <c r="D39" s="10" t="s">
        <v>1205</v>
      </c>
      <c r="E39" s="10" t="s">
        <v>1205</v>
      </c>
      <c r="F39" t="str">
        <f t="shared" ca="1" si="1"/>
        <v>False</v>
      </c>
      <c r="G39" s="10" t="s">
        <v>1205</v>
      </c>
      <c r="H39" t="str">
        <f t="shared" ca="1" si="2"/>
        <v>True</v>
      </c>
      <c r="I39" t="str">
        <f t="shared" ca="1" si="3"/>
        <v>False</v>
      </c>
      <c r="J39" s="10" t="s">
        <v>1205</v>
      </c>
      <c r="K39" t="str">
        <f t="shared" ca="1" si="4"/>
        <v>False</v>
      </c>
      <c r="L39" t="str">
        <f t="shared" ca="1" si="6"/>
        <v>True</v>
      </c>
      <c r="M39" t="str">
        <f t="shared" ca="1" si="6"/>
        <v>False</v>
      </c>
      <c r="N39" s="11" t="s">
        <v>1206</v>
      </c>
    </row>
    <row r="40" spans="1:14" x14ac:dyDescent="0.3">
      <c r="A40" s="7">
        <v>39</v>
      </c>
      <c r="B40" t="s">
        <v>368</v>
      </c>
      <c r="C40">
        <f t="shared" ca="1" si="0"/>
        <v>7</v>
      </c>
      <c r="D40" s="10" t="s">
        <v>1205</v>
      </c>
      <c r="E40" s="10" t="s">
        <v>1205</v>
      </c>
      <c r="F40" t="str">
        <f t="shared" ca="1" si="1"/>
        <v>False</v>
      </c>
      <c r="G40" s="10" t="s">
        <v>1205</v>
      </c>
      <c r="H40" t="str">
        <f t="shared" ca="1" si="2"/>
        <v>True</v>
      </c>
      <c r="I40" t="str">
        <f t="shared" ca="1" si="3"/>
        <v>True</v>
      </c>
      <c r="J40" s="10" t="s">
        <v>1205</v>
      </c>
      <c r="K40" t="str">
        <f t="shared" ca="1" si="4"/>
        <v>True</v>
      </c>
      <c r="L40" t="str">
        <f t="shared" ca="1" si="6"/>
        <v>False</v>
      </c>
      <c r="M40" t="str">
        <f t="shared" ca="1" si="6"/>
        <v>False</v>
      </c>
      <c r="N40" s="11" t="s">
        <v>1206</v>
      </c>
    </row>
    <row r="41" spans="1:14" x14ac:dyDescent="0.3">
      <c r="A41" s="7">
        <v>40</v>
      </c>
      <c r="B41" t="s">
        <v>368</v>
      </c>
      <c r="C41">
        <f t="shared" ca="1" si="0"/>
        <v>24</v>
      </c>
      <c r="D41" s="10" t="s">
        <v>1205</v>
      </c>
      <c r="E41" s="10" t="s">
        <v>1205</v>
      </c>
      <c r="F41" t="str">
        <f t="shared" ca="1" si="1"/>
        <v>False</v>
      </c>
      <c r="G41" s="10" t="s">
        <v>1205</v>
      </c>
      <c r="H41" t="str">
        <f t="shared" ca="1" si="2"/>
        <v>True</v>
      </c>
      <c r="I41" t="str">
        <f t="shared" ca="1" si="3"/>
        <v>False</v>
      </c>
      <c r="J41" s="10" t="s">
        <v>1205</v>
      </c>
      <c r="K41" t="str">
        <f t="shared" ca="1" si="4"/>
        <v>True</v>
      </c>
      <c r="L41" t="str">
        <f t="shared" ca="1" si="6"/>
        <v>True</v>
      </c>
      <c r="M41" t="str">
        <f t="shared" ca="1" si="6"/>
        <v>False</v>
      </c>
      <c r="N41" s="11" t="s">
        <v>1206</v>
      </c>
    </row>
    <row r="42" spans="1:14" x14ac:dyDescent="0.3">
      <c r="A42" s="7">
        <v>41</v>
      </c>
      <c r="B42" t="s">
        <v>368</v>
      </c>
      <c r="C42">
        <f t="shared" ca="1" si="0"/>
        <v>4</v>
      </c>
      <c r="D42" s="10" t="s">
        <v>1205</v>
      </c>
      <c r="E42" s="10" t="s">
        <v>1205</v>
      </c>
      <c r="F42" t="str">
        <f t="shared" ca="1" si="1"/>
        <v>True</v>
      </c>
      <c r="G42" s="10" t="s">
        <v>1205</v>
      </c>
      <c r="H42" t="str">
        <f t="shared" ca="1" si="2"/>
        <v>False</v>
      </c>
      <c r="I42" t="str">
        <f t="shared" ca="1" si="3"/>
        <v>False</v>
      </c>
      <c r="J42" s="10" t="s">
        <v>1205</v>
      </c>
      <c r="K42" t="str">
        <f t="shared" ca="1" si="4"/>
        <v>False</v>
      </c>
      <c r="L42" t="str">
        <f t="shared" ca="1" si="6"/>
        <v>False</v>
      </c>
      <c r="M42" t="str">
        <f t="shared" ca="1" si="6"/>
        <v>False</v>
      </c>
      <c r="N42" s="11" t="s">
        <v>1206</v>
      </c>
    </row>
    <row r="43" spans="1:14" x14ac:dyDescent="0.3">
      <c r="A43" s="7">
        <v>42</v>
      </c>
      <c r="B43" t="s">
        <v>368</v>
      </c>
      <c r="C43">
        <f t="shared" ca="1" si="0"/>
        <v>27</v>
      </c>
      <c r="D43" s="10" t="s">
        <v>1205</v>
      </c>
      <c r="E43" s="10" t="s">
        <v>1205</v>
      </c>
      <c r="F43" t="str">
        <f t="shared" ca="1" si="1"/>
        <v>False</v>
      </c>
      <c r="G43" s="10" t="s">
        <v>1205</v>
      </c>
      <c r="H43" t="str">
        <f t="shared" ca="1" si="2"/>
        <v>False</v>
      </c>
      <c r="I43" t="str">
        <f t="shared" ca="1" si="3"/>
        <v>False</v>
      </c>
      <c r="J43" s="10" t="s">
        <v>1205</v>
      </c>
      <c r="K43" t="str">
        <f t="shared" ca="1" si="4"/>
        <v>False</v>
      </c>
      <c r="L43" t="str">
        <f t="shared" ca="1" si="6"/>
        <v>False</v>
      </c>
      <c r="M43" t="str">
        <f t="shared" ca="1" si="6"/>
        <v>False</v>
      </c>
      <c r="N43" s="11" t="s">
        <v>1206</v>
      </c>
    </row>
    <row r="44" spans="1:14" x14ac:dyDescent="0.3">
      <c r="A44" s="7">
        <v>43</v>
      </c>
      <c r="B44" t="s">
        <v>368</v>
      </c>
      <c r="C44">
        <f t="shared" ca="1" si="0"/>
        <v>13</v>
      </c>
      <c r="D44" s="10" t="s">
        <v>1205</v>
      </c>
      <c r="E44" s="10" t="s">
        <v>1205</v>
      </c>
      <c r="F44" t="str">
        <f t="shared" ca="1" si="1"/>
        <v>True</v>
      </c>
      <c r="G44" s="10" t="s">
        <v>1205</v>
      </c>
      <c r="H44" t="str">
        <f t="shared" ca="1" si="2"/>
        <v>False</v>
      </c>
      <c r="I44" t="str">
        <f t="shared" ca="1" si="3"/>
        <v>False</v>
      </c>
      <c r="J44" s="10" t="s">
        <v>1205</v>
      </c>
      <c r="K44" t="str">
        <f t="shared" ca="1" si="4"/>
        <v>False</v>
      </c>
      <c r="L44" t="str">
        <f t="shared" ca="1" si="6"/>
        <v>False</v>
      </c>
      <c r="M44" t="str">
        <f t="shared" ca="1" si="6"/>
        <v>False</v>
      </c>
      <c r="N44" s="11" t="s">
        <v>1206</v>
      </c>
    </row>
    <row r="45" spans="1:14" x14ac:dyDescent="0.3">
      <c r="A45" s="7">
        <v>44</v>
      </c>
      <c r="B45" t="s">
        <v>368</v>
      </c>
      <c r="C45">
        <f t="shared" ca="1" si="0"/>
        <v>19</v>
      </c>
      <c r="D45" s="10" t="s">
        <v>1205</v>
      </c>
      <c r="E45" s="10" t="s">
        <v>1205</v>
      </c>
      <c r="F45" t="str">
        <f t="shared" ca="1" si="1"/>
        <v>True</v>
      </c>
      <c r="G45" s="10" t="s">
        <v>1205</v>
      </c>
      <c r="H45" t="str">
        <f t="shared" ca="1" si="2"/>
        <v>False</v>
      </c>
      <c r="I45" t="str">
        <f t="shared" ca="1" si="3"/>
        <v>False</v>
      </c>
      <c r="J45" s="10" t="s">
        <v>1205</v>
      </c>
      <c r="K45" t="str">
        <f t="shared" ca="1" si="4"/>
        <v>True</v>
      </c>
      <c r="L45" t="str">
        <f t="shared" ca="1" si="6"/>
        <v>False</v>
      </c>
      <c r="M45" t="str">
        <f t="shared" ca="1" si="6"/>
        <v>False</v>
      </c>
      <c r="N45" s="11" t="s">
        <v>1206</v>
      </c>
    </row>
    <row r="46" spans="1:14" x14ac:dyDescent="0.3">
      <c r="A46" s="7">
        <v>45</v>
      </c>
      <c r="B46" t="s">
        <v>368</v>
      </c>
      <c r="C46">
        <f t="shared" ca="1" si="0"/>
        <v>28</v>
      </c>
      <c r="D46" s="10" t="s">
        <v>1205</v>
      </c>
      <c r="E46" s="10" t="s">
        <v>1205</v>
      </c>
      <c r="F46" t="str">
        <f t="shared" ca="1" si="1"/>
        <v>False</v>
      </c>
      <c r="G46" s="10" t="s">
        <v>1205</v>
      </c>
      <c r="H46" t="str">
        <f t="shared" ca="1" si="2"/>
        <v>True</v>
      </c>
      <c r="I46" t="str">
        <f t="shared" ca="1" si="3"/>
        <v>False</v>
      </c>
      <c r="J46" s="10" t="s">
        <v>1205</v>
      </c>
      <c r="K46" t="str">
        <f t="shared" ca="1" si="4"/>
        <v>False</v>
      </c>
      <c r="L46" t="str">
        <f t="shared" ca="1" si="6"/>
        <v>True</v>
      </c>
      <c r="M46" t="str">
        <f t="shared" ca="1" si="6"/>
        <v>False</v>
      </c>
      <c r="N46" s="11" t="s">
        <v>1206</v>
      </c>
    </row>
    <row r="47" spans="1:14" x14ac:dyDescent="0.3">
      <c r="A47" s="7">
        <v>46</v>
      </c>
      <c r="B47" t="s">
        <v>368</v>
      </c>
      <c r="C47">
        <f t="shared" ca="1" si="0"/>
        <v>21</v>
      </c>
      <c r="D47" s="10" t="s">
        <v>1205</v>
      </c>
      <c r="E47" s="10" t="s">
        <v>1205</v>
      </c>
      <c r="F47" t="str">
        <f t="shared" ca="1" si="1"/>
        <v>True</v>
      </c>
      <c r="G47" s="10" t="s">
        <v>1205</v>
      </c>
      <c r="H47" t="str">
        <f t="shared" ca="1" si="2"/>
        <v>True</v>
      </c>
      <c r="I47" t="str">
        <f t="shared" ca="1" si="3"/>
        <v>False</v>
      </c>
      <c r="J47" s="10" t="s">
        <v>1205</v>
      </c>
      <c r="K47" t="str">
        <f t="shared" ca="1" si="4"/>
        <v>True</v>
      </c>
      <c r="L47" t="str">
        <f t="shared" ca="1" si="6"/>
        <v>True</v>
      </c>
      <c r="M47" t="str">
        <f t="shared" ca="1" si="6"/>
        <v>False</v>
      </c>
      <c r="N47" s="11" t="s">
        <v>1206</v>
      </c>
    </row>
    <row r="48" spans="1:14" x14ac:dyDescent="0.3">
      <c r="A48" s="7">
        <v>47</v>
      </c>
      <c r="B48" t="s">
        <v>368</v>
      </c>
      <c r="C48">
        <f t="shared" ca="1" si="0"/>
        <v>20</v>
      </c>
      <c r="D48" s="10" t="s">
        <v>1205</v>
      </c>
      <c r="E48" s="10" t="s">
        <v>1205</v>
      </c>
      <c r="F48" t="str">
        <f t="shared" ca="1" si="1"/>
        <v>False</v>
      </c>
      <c r="G48" s="10" t="s">
        <v>1205</v>
      </c>
      <c r="H48" t="str">
        <f t="shared" ca="1" si="2"/>
        <v>True</v>
      </c>
      <c r="I48" t="str">
        <f t="shared" ca="1" si="3"/>
        <v>False</v>
      </c>
      <c r="J48" s="10" t="s">
        <v>1205</v>
      </c>
      <c r="K48" t="str">
        <f t="shared" ca="1" si="4"/>
        <v>False</v>
      </c>
      <c r="L48" t="str">
        <f t="shared" ca="1" si="6"/>
        <v>False</v>
      </c>
      <c r="M48" t="str">
        <f t="shared" ca="1" si="6"/>
        <v>False</v>
      </c>
      <c r="N48" s="11" t="s">
        <v>1206</v>
      </c>
    </row>
    <row r="49" spans="1:14" x14ac:dyDescent="0.3">
      <c r="A49" s="7">
        <v>48</v>
      </c>
      <c r="B49" t="s">
        <v>368</v>
      </c>
      <c r="C49">
        <f t="shared" ca="1" si="0"/>
        <v>10</v>
      </c>
      <c r="D49" s="10" t="s">
        <v>1205</v>
      </c>
      <c r="E49" s="10" t="s">
        <v>1205</v>
      </c>
      <c r="F49" t="str">
        <f t="shared" ca="1" si="1"/>
        <v>True</v>
      </c>
      <c r="G49" s="10" t="s">
        <v>1205</v>
      </c>
      <c r="H49" t="str">
        <f t="shared" ca="1" si="2"/>
        <v>False</v>
      </c>
      <c r="I49" t="str">
        <f t="shared" ca="1" si="3"/>
        <v>False</v>
      </c>
      <c r="J49" s="10" t="s">
        <v>1205</v>
      </c>
      <c r="K49" t="str">
        <f t="shared" ca="1" si="4"/>
        <v>False</v>
      </c>
      <c r="L49" t="str">
        <f t="shared" ca="1" si="6"/>
        <v>False</v>
      </c>
      <c r="M49" t="str">
        <f t="shared" ca="1" si="6"/>
        <v>False</v>
      </c>
      <c r="N49" s="11" t="s">
        <v>1206</v>
      </c>
    </row>
    <row r="50" spans="1:14" x14ac:dyDescent="0.3">
      <c r="A50" s="7">
        <v>49</v>
      </c>
      <c r="B50" t="s">
        <v>368</v>
      </c>
      <c r="C50">
        <f t="shared" ca="1" si="0"/>
        <v>5</v>
      </c>
      <c r="D50" s="10" t="s">
        <v>1205</v>
      </c>
      <c r="E50" s="10" t="s">
        <v>1205</v>
      </c>
      <c r="F50" t="str">
        <f t="shared" ca="1" si="1"/>
        <v>True</v>
      </c>
      <c r="G50" s="10" t="s">
        <v>1205</v>
      </c>
      <c r="H50" t="str">
        <f t="shared" ca="1" si="2"/>
        <v>True</v>
      </c>
      <c r="I50" t="str">
        <f t="shared" ca="1" si="3"/>
        <v>False</v>
      </c>
      <c r="J50" s="10" t="s">
        <v>1205</v>
      </c>
      <c r="K50" t="str">
        <f t="shared" ca="1" si="4"/>
        <v>True</v>
      </c>
      <c r="L50" t="str">
        <f t="shared" ca="1" si="6"/>
        <v>False</v>
      </c>
      <c r="M50" t="str">
        <f t="shared" ca="1" si="6"/>
        <v>True</v>
      </c>
      <c r="N50" s="11" t="s">
        <v>1206</v>
      </c>
    </row>
    <row r="51" spans="1:14" x14ac:dyDescent="0.3">
      <c r="A51" s="7">
        <v>50</v>
      </c>
      <c r="B51" t="s">
        <v>368</v>
      </c>
      <c r="C51">
        <f t="shared" ca="1" si="0"/>
        <v>15</v>
      </c>
      <c r="D51" s="10" t="s">
        <v>1205</v>
      </c>
      <c r="E51" s="10" t="s">
        <v>1205</v>
      </c>
      <c r="F51" t="str">
        <f t="shared" ca="1" si="1"/>
        <v>True</v>
      </c>
      <c r="G51" s="10" t="s">
        <v>1205</v>
      </c>
      <c r="H51" t="str">
        <f t="shared" ca="1" si="2"/>
        <v>False</v>
      </c>
      <c r="I51" t="str">
        <f t="shared" ca="1" si="3"/>
        <v>False</v>
      </c>
      <c r="J51" s="10" t="s">
        <v>1205</v>
      </c>
      <c r="K51" t="str">
        <f t="shared" ca="1" si="4"/>
        <v>False</v>
      </c>
      <c r="L51" t="str">
        <f t="shared" ca="1" si="6"/>
        <v>False</v>
      </c>
      <c r="M51" t="str">
        <f t="shared" ca="1" si="6"/>
        <v>False</v>
      </c>
      <c r="N51" s="11" t="s">
        <v>1206</v>
      </c>
    </row>
    <row r="52" spans="1:14" x14ac:dyDescent="0.3">
      <c r="A52" s="7">
        <v>51</v>
      </c>
      <c r="B52" t="s">
        <v>368</v>
      </c>
      <c r="C52">
        <f t="shared" ca="1" si="0"/>
        <v>26</v>
      </c>
      <c r="D52" s="10" t="s">
        <v>1205</v>
      </c>
      <c r="E52" s="10" t="s">
        <v>1205</v>
      </c>
      <c r="F52" t="str">
        <f t="shared" ca="1" si="1"/>
        <v>True</v>
      </c>
      <c r="G52" s="10" t="s">
        <v>1205</v>
      </c>
      <c r="H52" t="str">
        <f t="shared" ca="1" si="2"/>
        <v>False</v>
      </c>
      <c r="I52" t="str">
        <f t="shared" ca="1" si="3"/>
        <v>False</v>
      </c>
      <c r="J52" s="10" t="s">
        <v>1205</v>
      </c>
      <c r="K52" t="str">
        <f t="shared" ca="1" si="4"/>
        <v>False</v>
      </c>
      <c r="L52" t="str">
        <f t="shared" ca="1" si="6"/>
        <v>False</v>
      </c>
      <c r="M52" t="str">
        <f t="shared" ca="1" si="6"/>
        <v>False</v>
      </c>
      <c r="N52" s="11" t="s">
        <v>1206</v>
      </c>
    </row>
    <row r="53" spans="1:14" x14ac:dyDescent="0.3">
      <c r="A53" s="7">
        <v>52</v>
      </c>
      <c r="B53" t="s">
        <v>368</v>
      </c>
      <c r="C53">
        <f t="shared" ca="1" si="0"/>
        <v>12</v>
      </c>
      <c r="D53" s="10" t="s">
        <v>1205</v>
      </c>
      <c r="E53" s="10" t="s">
        <v>1205</v>
      </c>
      <c r="F53" t="str">
        <f t="shared" ca="1" si="1"/>
        <v>True</v>
      </c>
      <c r="G53" s="10" t="s">
        <v>1205</v>
      </c>
      <c r="H53" t="str">
        <f t="shared" ca="1" si="2"/>
        <v>True</v>
      </c>
      <c r="I53" t="str">
        <f t="shared" ca="1" si="3"/>
        <v>False</v>
      </c>
      <c r="J53" s="10" t="s">
        <v>1205</v>
      </c>
      <c r="K53" t="str">
        <f t="shared" ca="1" si="4"/>
        <v>True</v>
      </c>
      <c r="L53" t="str">
        <f t="shared" ca="1" si="6"/>
        <v>False</v>
      </c>
      <c r="M53" t="str">
        <f t="shared" ca="1" si="6"/>
        <v>False</v>
      </c>
      <c r="N53" s="11" t="s">
        <v>1206</v>
      </c>
    </row>
    <row r="54" spans="1:14" x14ac:dyDescent="0.3">
      <c r="A54" s="7">
        <v>53</v>
      </c>
      <c r="B54" t="s">
        <v>368</v>
      </c>
      <c r="C54">
        <f t="shared" ca="1" si="0"/>
        <v>30</v>
      </c>
      <c r="D54" s="10" t="s">
        <v>1205</v>
      </c>
      <c r="E54" s="10" t="s">
        <v>1205</v>
      </c>
      <c r="F54" t="str">
        <f t="shared" ca="1" si="1"/>
        <v>True</v>
      </c>
      <c r="G54" s="10" t="s">
        <v>1205</v>
      </c>
      <c r="H54" t="str">
        <f t="shared" ca="1" si="2"/>
        <v>False</v>
      </c>
      <c r="I54" t="str">
        <f t="shared" ca="1" si="3"/>
        <v>False</v>
      </c>
      <c r="J54" s="10" t="s">
        <v>1205</v>
      </c>
      <c r="K54" t="str">
        <f t="shared" ca="1" si="4"/>
        <v>False</v>
      </c>
      <c r="L54" t="str">
        <f t="shared" ca="1" si="6"/>
        <v>True</v>
      </c>
      <c r="M54" t="str">
        <f t="shared" ca="1" si="6"/>
        <v>True</v>
      </c>
      <c r="N54" s="11" t="s">
        <v>1206</v>
      </c>
    </row>
    <row r="55" spans="1:14" x14ac:dyDescent="0.3">
      <c r="A55" s="7">
        <v>54</v>
      </c>
      <c r="B55" t="s">
        <v>368</v>
      </c>
      <c r="C55">
        <f t="shared" ca="1" si="0"/>
        <v>3</v>
      </c>
      <c r="D55" s="10" t="s">
        <v>1205</v>
      </c>
      <c r="E55" s="10" t="s">
        <v>1205</v>
      </c>
      <c r="F55" t="str">
        <f t="shared" ca="1" si="1"/>
        <v>False</v>
      </c>
      <c r="G55" s="10" t="s">
        <v>1205</v>
      </c>
      <c r="H55" t="str">
        <f t="shared" ca="1" si="2"/>
        <v>True</v>
      </c>
      <c r="I55" t="str">
        <f t="shared" ca="1" si="3"/>
        <v>False</v>
      </c>
      <c r="J55" s="10" t="s">
        <v>1205</v>
      </c>
      <c r="K55" t="str">
        <f t="shared" ca="1" si="4"/>
        <v>False</v>
      </c>
      <c r="L55" t="str">
        <f t="shared" ca="1" si="6"/>
        <v>False</v>
      </c>
      <c r="M55" t="str">
        <f t="shared" ca="1" si="6"/>
        <v>False</v>
      </c>
      <c r="N55" s="11" t="s">
        <v>1206</v>
      </c>
    </row>
    <row r="56" spans="1:14" x14ac:dyDescent="0.3">
      <c r="A56" s="7">
        <v>55</v>
      </c>
      <c r="B56" t="s">
        <v>368</v>
      </c>
      <c r="C56">
        <f t="shared" ca="1" si="0"/>
        <v>4</v>
      </c>
      <c r="D56" s="10" t="s">
        <v>1205</v>
      </c>
      <c r="E56" s="10" t="s">
        <v>1205</v>
      </c>
      <c r="F56" t="str">
        <f t="shared" ca="1" si="1"/>
        <v>True</v>
      </c>
      <c r="G56" s="10" t="s">
        <v>1205</v>
      </c>
      <c r="H56" t="str">
        <f t="shared" ca="1" si="2"/>
        <v>True</v>
      </c>
      <c r="I56" t="str">
        <f t="shared" ca="1" si="3"/>
        <v>False</v>
      </c>
      <c r="J56" s="10" t="s">
        <v>1205</v>
      </c>
      <c r="K56" t="str">
        <f t="shared" ca="1" si="4"/>
        <v>True</v>
      </c>
      <c r="L56" t="str">
        <f t="shared" ca="1" si="6"/>
        <v>False</v>
      </c>
      <c r="M56" t="str">
        <f t="shared" ca="1" si="6"/>
        <v>True</v>
      </c>
      <c r="N56" s="11" t="s">
        <v>1206</v>
      </c>
    </row>
    <row r="57" spans="1:14" x14ac:dyDescent="0.3">
      <c r="A57" s="7">
        <v>56</v>
      </c>
      <c r="B57" t="s">
        <v>368</v>
      </c>
      <c r="C57">
        <f t="shared" ca="1" si="0"/>
        <v>30</v>
      </c>
      <c r="D57" s="10" t="s">
        <v>1205</v>
      </c>
      <c r="E57" s="10" t="s">
        <v>1205</v>
      </c>
      <c r="F57" t="str">
        <f t="shared" ca="1" si="1"/>
        <v>True</v>
      </c>
      <c r="G57" s="10" t="s">
        <v>1205</v>
      </c>
      <c r="H57" t="str">
        <f t="shared" ca="1" si="2"/>
        <v>False</v>
      </c>
      <c r="I57" t="str">
        <f t="shared" ca="1" si="3"/>
        <v>False</v>
      </c>
      <c r="J57" s="10" t="s">
        <v>1205</v>
      </c>
      <c r="K57" t="str">
        <f t="shared" ca="1" si="4"/>
        <v>False</v>
      </c>
      <c r="L57" t="str">
        <f t="shared" ca="1" si="6"/>
        <v>False</v>
      </c>
      <c r="M57" t="str">
        <f t="shared" ca="1" si="6"/>
        <v>False</v>
      </c>
      <c r="N57" s="11" t="s">
        <v>1206</v>
      </c>
    </row>
    <row r="58" spans="1:14" x14ac:dyDescent="0.3">
      <c r="A58" s="7">
        <v>57</v>
      </c>
      <c r="B58" t="s">
        <v>368</v>
      </c>
      <c r="C58">
        <f t="shared" ca="1" si="0"/>
        <v>28</v>
      </c>
      <c r="D58" s="10" t="s">
        <v>1205</v>
      </c>
      <c r="E58" s="10" t="s">
        <v>1205</v>
      </c>
      <c r="F58" t="str">
        <f t="shared" ca="1" si="1"/>
        <v>True</v>
      </c>
      <c r="G58" s="10" t="s">
        <v>1205</v>
      </c>
      <c r="H58" t="str">
        <f t="shared" ca="1" si="2"/>
        <v>True</v>
      </c>
      <c r="I58" t="str">
        <f t="shared" ca="1" si="3"/>
        <v>False</v>
      </c>
      <c r="J58" s="10" t="s">
        <v>1205</v>
      </c>
      <c r="K58" t="str">
        <f t="shared" ca="1" si="4"/>
        <v>False</v>
      </c>
      <c r="L58" t="str">
        <f t="shared" ca="1" si="6"/>
        <v>False</v>
      </c>
      <c r="M58" t="str">
        <f t="shared" ca="1" si="6"/>
        <v>False</v>
      </c>
      <c r="N58" s="11" t="s">
        <v>1206</v>
      </c>
    </row>
    <row r="59" spans="1:14" x14ac:dyDescent="0.3">
      <c r="A59" s="7">
        <v>58</v>
      </c>
      <c r="B59" t="s">
        <v>368</v>
      </c>
      <c r="C59">
        <f t="shared" ca="1" si="0"/>
        <v>24</v>
      </c>
      <c r="D59" s="10" t="s">
        <v>1205</v>
      </c>
      <c r="E59" s="10" t="s">
        <v>1205</v>
      </c>
      <c r="F59" t="str">
        <f t="shared" ca="1" si="1"/>
        <v>False</v>
      </c>
      <c r="G59" s="10" t="s">
        <v>1205</v>
      </c>
      <c r="H59" t="str">
        <f t="shared" ca="1" si="2"/>
        <v>True</v>
      </c>
      <c r="I59" t="str">
        <f t="shared" ca="1" si="3"/>
        <v>False</v>
      </c>
      <c r="J59" s="10" t="s">
        <v>1205</v>
      </c>
      <c r="K59" t="str">
        <f t="shared" ca="1" si="4"/>
        <v>False</v>
      </c>
      <c r="L59" t="str">
        <f t="shared" ca="1" si="6"/>
        <v>False</v>
      </c>
      <c r="M59" t="str">
        <f t="shared" ca="1" si="6"/>
        <v>False</v>
      </c>
      <c r="N59" s="11" t="s">
        <v>1206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CA5B2-7974-4666-9D52-C2A15254A12E}">
  <dimension ref="A1:F59"/>
  <sheetViews>
    <sheetView workbookViewId="0">
      <pane ySplit="1" topLeftCell="A2" activePane="bottomLeft" state="frozen"/>
      <selection pane="bottomLeft" activeCell="F2" sqref="F2:F59"/>
    </sheetView>
  </sheetViews>
  <sheetFormatPr defaultRowHeight="14.4" x14ac:dyDescent="0.3"/>
  <cols>
    <col min="1" max="1" width="4" style="7" bestFit="1" customWidth="1"/>
    <col min="2" max="2" width="41.44140625" bestFit="1" customWidth="1"/>
    <col min="3" max="3" width="15.21875" bestFit="1" customWidth="1"/>
    <col min="4" max="4" width="13.5546875" style="6" customWidth="1"/>
    <col min="5" max="5" width="8" bestFit="1" customWidth="1"/>
    <col min="6" max="6" width="7.77734375" bestFit="1" customWidth="1"/>
  </cols>
  <sheetData>
    <row r="1" spans="1:6" s="2" customFormat="1" x14ac:dyDescent="0.3">
      <c r="A1" s="8" t="s">
        <v>3</v>
      </c>
      <c r="B1" s="2" t="s">
        <v>350</v>
      </c>
      <c r="C1" s="2" t="s">
        <v>367</v>
      </c>
      <c r="D1" s="9" t="s">
        <v>366</v>
      </c>
      <c r="E1" s="2" t="s">
        <v>365</v>
      </c>
      <c r="F1" s="2" t="s">
        <v>364</v>
      </c>
    </row>
    <row r="2" spans="1:6" x14ac:dyDescent="0.3">
      <c r="A2" s="7">
        <v>1</v>
      </c>
      <c r="B2" t="s">
        <v>363</v>
      </c>
      <c r="C2" t="s">
        <v>362</v>
      </c>
      <c r="D2" s="6">
        <f ca="1">'City.csv'!D2</f>
        <v>1503446400</v>
      </c>
      <c r="E2">
        <f ca="1">'City.csv'!C2*4</f>
        <v>108</v>
      </c>
      <c r="F2" t="str">
        <f ca="1">IF(RANDBETWEEN(1,50)=1,"True","False")</f>
        <v>False</v>
      </c>
    </row>
    <row r="3" spans="1:6" x14ac:dyDescent="0.3">
      <c r="A3" s="7">
        <v>2</v>
      </c>
      <c r="B3" t="s">
        <v>363</v>
      </c>
      <c r="C3" t="s">
        <v>362</v>
      </c>
      <c r="D3" s="6">
        <f ca="1">'City.csv'!D3</f>
        <v>1498435200</v>
      </c>
      <c r="E3">
        <f ca="1">'City.csv'!C3*4</f>
        <v>28</v>
      </c>
      <c r="F3" t="str">
        <f t="shared" ref="F3:F59" ca="1" si="0">IF(RANDBETWEEN(1,50)=1,"True","False")</f>
        <v>False</v>
      </c>
    </row>
    <row r="4" spans="1:6" x14ac:dyDescent="0.3">
      <c r="A4" s="7">
        <v>3</v>
      </c>
      <c r="B4" t="s">
        <v>363</v>
      </c>
      <c r="C4" t="s">
        <v>362</v>
      </c>
      <c r="D4" s="6">
        <f ca="1">'City.csv'!D4</f>
        <v>1473897600</v>
      </c>
      <c r="E4">
        <f ca="1">'City.csv'!C4*4</f>
        <v>100</v>
      </c>
      <c r="F4" t="str">
        <f t="shared" ca="1" si="0"/>
        <v>False</v>
      </c>
    </row>
    <row r="5" spans="1:6" x14ac:dyDescent="0.3">
      <c r="A5" s="7">
        <v>4</v>
      </c>
      <c r="B5" t="s">
        <v>363</v>
      </c>
      <c r="C5" t="s">
        <v>362</v>
      </c>
      <c r="D5" s="6">
        <f ca="1">'City.csv'!D5</f>
        <v>1441152000</v>
      </c>
      <c r="E5">
        <f ca="1">'City.csv'!C5*4</f>
        <v>40</v>
      </c>
      <c r="F5" t="str">
        <f t="shared" ca="1" si="0"/>
        <v>False</v>
      </c>
    </row>
    <row r="6" spans="1:6" x14ac:dyDescent="0.3">
      <c r="A6" s="7">
        <v>5</v>
      </c>
      <c r="B6" t="s">
        <v>363</v>
      </c>
      <c r="C6" t="s">
        <v>362</v>
      </c>
      <c r="D6" s="6">
        <f ca="1">'City.csv'!D6</f>
        <v>1509840000</v>
      </c>
      <c r="E6">
        <f ca="1">'City.csv'!C6*4</f>
        <v>12</v>
      </c>
      <c r="F6" t="str">
        <f t="shared" ca="1" si="0"/>
        <v>False</v>
      </c>
    </row>
    <row r="7" spans="1:6" x14ac:dyDescent="0.3">
      <c r="A7" s="7">
        <v>6</v>
      </c>
      <c r="B7" t="s">
        <v>363</v>
      </c>
      <c r="C7" t="s">
        <v>362</v>
      </c>
      <c r="D7" s="6">
        <f ca="1">'City.csv'!D7</f>
        <v>1437523200</v>
      </c>
      <c r="E7">
        <f ca="1">'City.csv'!C7*4</f>
        <v>72</v>
      </c>
      <c r="F7" t="str">
        <f t="shared" ca="1" si="0"/>
        <v>False</v>
      </c>
    </row>
    <row r="8" spans="1:6" x14ac:dyDescent="0.3">
      <c r="A8" s="7">
        <v>7</v>
      </c>
      <c r="B8" t="s">
        <v>363</v>
      </c>
      <c r="C8" t="s">
        <v>362</v>
      </c>
      <c r="D8" s="6">
        <f ca="1">'City.csv'!D8</f>
        <v>1485216000</v>
      </c>
      <c r="E8">
        <f ca="1">'City.csv'!C8*4</f>
        <v>64</v>
      </c>
      <c r="F8" t="str">
        <f t="shared" ca="1" si="0"/>
        <v>False</v>
      </c>
    </row>
    <row r="9" spans="1:6" x14ac:dyDescent="0.3">
      <c r="A9" s="7">
        <v>8</v>
      </c>
      <c r="B9" t="s">
        <v>363</v>
      </c>
      <c r="C9" t="s">
        <v>362</v>
      </c>
      <c r="D9" s="6">
        <f ca="1">'City.csv'!D9</f>
        <v>1442793600</v>
      </c>
      <c r="E9">
        <f ca="1">'City.csv'!C9*4</f>
        <v>116</v>
      </c>
      <c r="F9" t="str">
        <f t="shared" ca="1" si="0"/>
        <v>False</v>
      </c>
    </row>
    <row r="10" spans="1:6" x14ac:dyDescent="0.3">
      <c r="A10" s="7">
        <v>9</v>
      </c>
      <c r="B10" t="s">
        <v>363</v>
      </c>
      <c r="C10" t="s">
        <v>362</v>
      </c>
      <c r="D10" s="6">
        <f ca="1">'City.csv'!D10</f>
        <v>1507075200</v>
      </c>
      <c r="E10">
        <f ca="1">'City.csv'!C10*4</f>
        <v>120</v>
      </c>
      <c r="F10" t="str">
        <f t="shared" ca="1" si="0"/>
        <v>False</v>
      </c>
    </row>
    <row r="11" spans="1:6" x14ac:dyDescent="0.3">
      <c r="A11" s="7">
        <v>10</v>
      </c>
      <c r="B11" t="s">
        <v>363</v>
      </c>
      <c r="C11" t="s">
        <v>362</v>
      </c>
      <c r="D11" s="6">
        <f ca="1">'City.csv'!D11</f>
        <v>1495756800</v>
      </c>
      <c r="E11">
        <f ca="1">'City.csv'!C11*4</f>
        <v>44</v>
      </c>
      <c r="F11" t="str">
        <f t="shared" ca="1" si="0"/>
        <v>False</v>
      </c>
    </row>
    <row r="12" spans="1:6" x14ac:dyDescent="0.3">
      <c r="A12" s="7">
        <v>11</v>
      </c>
      <c r="B12" t="s">
        <v>363</v>
      </c>
      <c r="C12" t="s">
        <v>362</v>
      </c>
      <c r="D12" s="6">
        <f ca="1">'City.csv'!D12</f>
        <v>1467417600</v>
      </c>
      <c r="E12">
        <f ca="1">'City.csv'!C12*4</f>
        <v>84</v>
      </c>
      <c r="F12" t="str">
        <f t="shared" ca="1" si="0"/>
        <v>False</v>
      </c>
    </row>
    <row r="13" spans="1:6" x14ac:dyDescent="0.3">
      <c r="A13" s="7">
        <v>12</v>
      </c>
      <c r="B13" t="s">
        <v>363</v>
      </c>
      <c r="C13" t="s">
        <v>362</v>
      </c>
      <c r="D13" s="6">
        <f ca="1">'City.csv'!D13</f>
        <v>1508716800</v>
      </c>
      <c r="E13">
        <f ca="1">'City.csv'!C13*4</f>
        <v>100</v>
      </c>
      <c r="F13" t="str">
        <f t="shared" ca="1" si="0"/>
        <v>False</v>
      </c>
    </row>
    <row r="14" spans="1:6" x14ac:dyDescent="0.3">
      <c r="A14" s="7">
        <v>13</v>
      </c>
      <c r="B14" t="s">
        <v>363</v>
      </c>
      <c r="C14" t="s">
        <v>362</v>
      </c>
      <c r="D14" s="6">
        <f ca="1">'City.csv'!D14</f>
        <v>1472083200</v>
      </c>
      <c r="E14">
        <f ca="1">'City.csv'!C14*4</f>
        <v>16</v>
      </c>
      <c r="F14" t="str">
        <f t="shared" ca="1" si="0"/>
        <v>False</v>
      </c>
    </row>
    <row r="15" spans="1:6" x14ac:dyDescent="0.3">
      <c r="A15" s="7">
        <v>14</v>
      </c>
      <c r="B15" t="s">
        <v>363</v>
      </c>
      <c r="C15" t="s">
        <v>362</v>
      </c>
      <c r="D15" s="6">
        <f ca="1">'City.csv'!D15</f>
        <v>1497830400</v>
      </c>
      <c r="E15">
        <f ca="1">'City.csv'!C15*4</f>
        <v>88</v>
      </c>
      <c r="F15" t="str">
        <f t="shared" ca="1" si="0"/>
        <v>False</v>
      </c>
    </row>
    <row r="16" spans="1:6" x14ac:dyDescent="0.3">
      <c r="A16" s="7">
        <v>15</v>
      </c>
      <c r="B16" t="s">
        <v>363</v>
      </c>
      <c r="C16" t="s">
        <v>362</v>
      </c>
      <c r="D16" s="6">
        <f ca="1">'City.csv'!D16</f>
        <v>1446422400</v>
      </c>
      <c r="E16">
        <f ca="1">'City.csv'!C16*4</f>
        <v>88</v>
      </c>
      <c r="F16" t="str">
        <f t="shared" ca="1" si="0"/>
        <v>True</v>
      </c>
    </row>
    <row r="17" spans="1:6" x14ac:dyDescent="0.3">
      <c r="A17" s="7">
        <v>16</v>
      </c>
      <c r="B17" t="s">
        <v>363</v>
      </c>
      <c r="C17" t="s">
        <v>362</v>
      </c>
      <c r="D17" s="6">
        <f ca="1">'City.csv'!D17</f>
        <v>1438300800</v>
      </c>
      <c r="E17">
        <f ca="1">'City.csv'!C17*4</f>
        <v>60</v>
      </c>
      <c r="F17" t="str">
        <f t="shared" ca="1" si="0"/>
        <v>False</v>
      </c>
    </row>
    <row r="18" spans="1:6" x14ac:dyDescent="0.3">
      <c r="A18" s="7">
        <v>17</v>
      </c>
      <c r="B18" t="s">
        <v>363</v>
      </c>
      <c r="C18" t="s">
        <v>362</v>
      </c>
      <c r="D18" s="6">
        <f ca="1">'City.csv'!D18</f>
        <v>1433203200</v>
      </c>
      <c r="E18">
        <f ca="1">'City.csv'!C18*4</f>
        <v>108</v>
      </c>
      <c r="F18" t="str">
        <f t="shared" ca="1" si="0"/>
        <v>False</v>
      </c>
    </row>
    <row r="19" spans="1:6" x14ac:dyDescent="0.3">
      <c r="A19" s="7">
        <v>18</v>
      </c>
      <c r="B19" t="s">
        <v>363</v>
      </c>
      <c r="C19" t="s">
        <v>362</v>
      </c>
      <c r="D19" s="6">
        <f ca="1">'City.csv'!D19</f>
        <v>1473638400</v>
      </c>
      <c r="E19">
        <f ca="1">'City.csv'!C19*4</f>
        <v>84</v>
      </c>
      <c r="F19" t="str">
        <f t="shared" ca="1" si="0"/>
        <v>False</v>
      </c>
    </row>
    <row r="20" spans="1:6" x14ac:dyDescent="0.3">
      <c r="A20" s="7">
        <v>19</v>
      </c>
      <c r="B20" t="s">
        <v>363</v>
      </c>
      <c r="C20" t="s">
        <v>362</v>
      </c>
      <c r="D20" s="6">
        <f ca="1">'City.csv'!D20</f>
        <v>1467676800</v>
      </c>
      <c r="E20">
        <f ca="1">'City.csv'!C20*4</f>
        <v>36</v>
      </c>
      <c r="F20" t="str">
        <f t="shared" ca="1" si="0"/>
        <v>False</v>
      </c>
    </row>
    <row r="21" spans="1:6" x14ac:dyDescent="0.3">
      <c r="A21" s="7">
        <v>20</v>
      </c>
      <c r="B21" t="s">
        <v>363</v>
      </c>
      <c r="C21" t="s">
        <v>362</v>
      </c>
      <c r="D21" s="6">
        <f ca="1">'City.csv'!D21</f>
        <v>1501718400</v>
      </c>
      <c r="E21">
        <f ca="1">'City.csv'!C21*4</f>
        <v>104</v>
      </c>
      <c r="F21" t="str">
        <f t="shared" ca="1" si="0"/>
        <v>False</v>
      </c>
    </row>
    <row r="22" spans="1:6" x14ac:dyDescent="0.3">
      <c r="A22" s="7">
        <v>21</v>
      </c>
      <c r="B22" t="s">
        <v>363</v>
      </c>
      <c r="C22" t="s">
        <v>362</v>
      </c>
      <c r="D22" s="6">
        <f ca="1">'City.csv'!D22</f>
        <v>1491177600</v>
      </c>
      <c r="E22">
        <f ca="1">'City.csv'!C22*4</f>
        <v>16</v>
      </c>
      <c r="F22" t="str">
        <f t="shared" ca="1" si="0"/>
        <v>False</v>
      </c>
    </row>
    <row r="23" spans="1:6" x14ac:dyDescent="0.3">
      <c r="A23" s="7">
        <v>22</v>
      </c>
      <c r="B23" t="s">
        <v>363</v>
      </c>
      <c r="C23" t="s">
        <v>362</v>
      </c>
      <c r="D23" s="6">
        <f ca="1">'City.csv'!D23</f>
        <v>1493078400</v>
      </c>
      <c r="E23">
        <f ca="1">'City.csv'!C23*4</f>
        <v>116</v>
      </c>
      <c r="F23" t="str">
        <f t="shared" ca="1" si="0"/>
        <v>True</v>
      </c>
    </row>
    <row r="24" spans="1:6" x14ac:dyDescent="0.3">
      <c r="A24" s="7">
        <v>23</v>
      </c>
      <c r="B24" t="s">
        <v>363</v>
      </c>
      <c r="C24" t="s">
        <v>362</v>
      </c>
      <c r="D24" s="6">
        <f ca="1">'City.csv'!D24</f>
        <v>1455753600</v>
      </c>
      <c r="E24">
        <f ca="1">'City.csv'!C24*4</f>
        <v>120</v>
      </c>
      <c r="F24" t="str">
        <f t="shared" ca="1" si="0"/>
        <v>False</v>
      </c>
    </row>
    <row r="25" spans="1:6" x14ac:dyDescent="0.3">
      <c r="A25" s="7">
        <v>24</v>
      </c>
      <c r="B25" t="s">
        <v>363</v>
      </c>
      <c r="C25" t="s">
        <v>362</v>
      </c>
      <c r="D25" s="6">
        <f ca="1">'City.csv'!D25</f>
        <v>1514332800</v>
      </c>
      <c r="E25">
        <f ca="1">'City.csv'!C25*4</f>
        <v>112</v>
      </c>
      <c r="F25" t="str">
        <f t="shared" ca="1" si="0"/>
        <v>False</v>
      </c>
    </row>
    <row r="26" spans="1:6" x14ac:dyDescent="0.3">
      <c r="A26" s="7">
        <v>25</v>
      </c>
      <c r="B26" t="s">
        <v>363</v>
      </c>
      <c r="C26" t="s">
        <v>362</v>
      </c>
      <c r="D26" s="6">
        <f ca="1">'City.csv'!D26</f>
        <v>1434412800</v>
      </c>
      <c r="E26">
        <f ca="1">'City.csv'!C26*4</f>
        <v>80</v>
      </c>
      <c r="F26" t="str">
        <f t="shared" ca="1" si="0"/>
        <v>False</v>
      </c>
    </row>
    <row r="27" spans="1:6" x14ac:dyDescent="0.3">
      <c r="A27" s="7">
        <v>26</v>
      </c>
      <c r="B27" t="s">
        <v>363</v>
      </c>
      <c r="C27" t="s">
        <v>362</v>
      </c>
      <c r="D27" s="6">
        <f ca="1">'City.csv'!D27</f>
        <v>1477440000</v>
      </c>
      <c r="E27">
        <f ca="1">'City.csv'!C27*4</f>
        <v>40</v>
      </c>
      <c r="F27" t="str">
        <f t="shared" ca="1" si="0"/>
        <v>False</v>
      </c>
    </row>
    <row r="28" spans="1:6" x14ac:dyDescent="0.3">
      <c r="A28" s="7">
        <v>27</v>
      </c>
      <c r="B28" t="s">
        <v>363</v>
      </c>
      <c r="C28" t="s">
        <v>362</v>
      </c>
      <c r="D28" s="6">
        <f ca="1">'City.csv'!D28</f>
        <v>1439856000</v>
      </c>
      <c r="E28">
        <f ca="1">'City.csv'!C28*4</f>
        <v>56</v>
      </c>
      <c r="F28" t="str">
        <f t="shared" ca="1" si="0"/>
        <v>False</v>
      </c>
    </row>
    <row r="29" spans="1:6" x14ac:dyDescent="0.3">
      <c r="A29" s="7">
        <v>28</v>
      </c>
      <c r="B29" t="s">
        <v>363</v>
      </c>
      <c r="C29" t="s">
        <v>362</v>
      </c>
      <c r="D29" s="6">
        <f ca="1">'City.csv'!D29</f>
        <v>1502409600</v>
      </c>
      <c r="E29">
        <f ca="1">'City.csv'!C29*4</f>
        <v>60</v>
      </c>
      <c r="F29" t="str">
        <f t="shared" ca="1" si="0"/>
        <v>False</v>
      </c>
    </row>
    <row r="30" spans="1:6" x14ac:dyDescent="0.3">
      <c r="A30" s="7">
        <v>29</v>
      </c>
      <c r="B30" t="s">
        <v>363</v>
      </c>
      <c r="C30" t="s">
        <v>362</v>
      </c>
      <c r="D30" s="6">
        <f ca="1">'City.csv'!D30</f>
        <v>1496793600</v>
      </c>
      <c r="E30">
        <f ca="1">'City.csv'!C30*4</f>
        <v>36</v>
      </c>
      <c r="F30" t="str">
        <f t="shared" ca="1" si="0"/>
        <v>False</v>
      </c>
    </row>
    <row r="31" spans="1:6" x14ac:dyDescent="0.3">
      <c r="A31" s="7">
        <v>30</v>
      </c>
      <c r="B31" t="s">
        <v>363</v>
      </c>
      <c r="C31" t="s">
        <v>362</v>
      </c>
      <c r="D31" s="6">
        <f ca="1">'City.csv'!D31</f>
        <v>1491004800</v>
      </c>
      <c r="E31">
        <f ca="1">'City.csv'!C31*4</f>
        <v>68</v>
      </c>
      <c r="F31" t="str">
        <f t="shared" ca="1" si="0"/>
        <v>False</v>
      </c>
    </row>
    <row r="32" spans="1:6" x14ac:dyDescent="0.3">
      <c r="A32" s="7">
        <v>31</v>
      </c>
      <c r="B32" t="s">
        <v>363</v>
      </c>
      <c r="C32" t="s">
        <v>362</v>
      </c>
      <c r="D32" s="6">
        <f ca="1">'City.csv'!D32</f>
        <v>1443225600</v>
      </c>
      <c r="E32">
        <f ca="1">'City.csv'!C32*4</f>
        <v>48</v>
      </c>
      <c r="F32" t="str">
        <f t="shared" ca="1" si="0"/>
        <v>False</v>
      </c>
    </row>
    <row r="33" spans="1:6" x14ac:dyDescent="0.3">
      <c r="A33" s="7">
        <v>32</v>
      </c>
      <c r="B33" t="s">
        <v>363</v>
      </c>
      <c r="C33" t="s">
        <v>362</v>
      </c>
      <c r="D33" s="6">
        <f ca="1">'City.csv'!D33</f>
        <v>1449187200</v>
      </c>
      <c r="E33">
        <f ca="1">'City.csv'!C33*4</f>
        <v>32</v>
      </c>
      <c r="F33" t="str">
        <f t="shared" ca="1" si="0"/>
        <v>False</v>
      </c>
    </row>
    <row r="34" spans="1:6" x14ac:dyDescent="0.3">
      <c r="A34" s="7">
        <v>33</v>
      </c>
      <c r="B34" t="s">
        <v>363</v>
      </c>
      <c r="C34" t="s">
        <v>362</v>
      </c>
      <c r="D34" s="6">
        <f ca="1">'City.csv'!D34</f>
        <v>1453161600</v>
      </c>
      <c r="E34">
        <f ca="1">'City.csv'!C34*4</f>
        <v>40</v>
      </c>
      <c r="F34" t="str">
        <f t="shared" ca="1" si="0"/>
        <v>False</v>
      </c>
    </row>
    <row r="35" spans="1:6" x14ac:dyDescent="0.3">
      <c r="A35" s="7">
        <v>34</v>
      </c>
      <c r="B35" t="s">
        <v>363</v>
      </c>
      <c r="C35" t="s">
        <v>362</v>
      </c>
      <c r="D35" s="6">
        <f ca="1">'City.csv'!D35</f>
        <v>1486771200</v>
      </c>
      <c r="E35">
        <f ca="1">'City.csv'!C35*4</f>
        <v>56</v>
      </c>
      <c r="F35" t="str">
        <f t="shared" ca="1" si="0"/>
        <v>False</v>
      </c>
    </row>
    <row r="36" spans="1:6" x14ac:dyDescent="0.3">
      <c r="A36" s="7">
        <v>35</v>
      </c>
      <c r="B36" t="s">
        <v>363</v>
      </c>
      <c r="C36" t="s">
        <v>362</v>
      </c>
      <c r="D36" s="6">
        <f ca="1">'City.csv'!D36</f>
        <v>1515369600</v>
      </c>
      <c r="E36">
        <f ca="1">'City.csv'!C36*4</f>
        <v>52</v>
      </c>
      <c r="F36" t="str">
        <f t="shared" ca="1" si="0"/>
        <v>True</v>
      </c>
    </row>
    <row r="37" spans="1:6" x14ac:dyDescent="0.3">
      <c r="A37" s="7">
        <v>36</v>
      </c>
      <c r="B37" t="s">
        <v>363</v>
      </c>
      <c r="C37" t="s">
        <v>362</v>
      </c>
      <c r="D37" s="6">
        <f ca="1">'City.csv'!D37</f>
        <v>1517702400</v>
      </c>
      <c r="E37">
        <f ca="1">'City.csv'!C37*4</f>
        <v>76</v>
      </c>
      <c r="F37" t="str">
        <f t="shared" ca="1" si="0"/>
        <v>False</v>
      </c>
    </row>
    <row r="38" spans="1:6" x14ac:dyDescent="0.3">
      <c r="A38" s="7">
        <v>37</v>
      </c>
      <c r="B38" t="s">
        <v>363</v>
      </c>
      <c r="C38" t="s">
        <v>362</v>
      </c>
      <c r="D38" s="6">
        <f ca="1">'City.csv'!D38</f>
        <v>1493769600</v>
      </c>
      <c r="E38">
        <f ca="1">'City.csv'!C38*4</f>
        <v>32</v>
      </c>
      <c r="F38" t="str">
        <f t="shared" ca="1" si="0"/>
        <v>False</v>
      </c>
    </row>
    <row r="39" spans="1:6" x14ac:dyDescent="0.3">
      <c r="A39" s="7">
        <v>38</v>
      </c>
      <c r="B39" t="s">
        <v>363</v>
      </c>
      <c r="C39" t="s">
        <v>362</v>
      </c>
      <c r="D39" s="6">
        <f ca="1">'City.csv'!D39</f>
        <v>1518912000</v>
      </c>
      <c r="E39">
        <f ca="1">'City.csv'!C39*4</f>
        <v>116</v>
      </c>
      <c r="F39" t="str">
        <f t="shared" ca="1" si="0"/>
        <v>False</v>
      </c>
    </row>
    <row r="40" spans="1:6" x14ac:dyDescent="0.3">
      <c r="A40" s="7">
        <v>39</v>
      </c>
      <c r="B40" t="s">
        <v>363</v>
      </c>
      <c r="C40" t="s">
        <v>362</v>
      </c>
      <c r="D40" s="6">
        <f ca="1">'City.csv'!D40</f>
        <v>1513209600</v>
      </c>
      <c r="E40">
        <f ca="1">'City.csv'!C40*4</f>
        <v>28</v>
      </c>
      <c r="F40" t="str">
        <f t="shared" ca="1" si="0"/>
        <v>False</v>
      </c>
    </row>
    <row r="41" spans="1:6" x14ac:dyDescent="0.3">
      <c r="A41" s="7">
        <v>40</v>
      </c>
      <c r="B41" t="s">
        <v>363</v>
      </c>
      <c r="C41" t="s">
        <v>362</v>
      </c>
      <c r="D41" s="6">
        <f ca="1">'City.csv'!D41</f>
        <v>1461283200</v>
      </c>
      <c r="E41">
        <f ca="1">'City.csv'!C41*4</f>
        <v>96</v>
      </c>
      <c r="F41" t="str">
        <f t="shared" ca="1" si="0"/>
        <v>False</v>
      </c>
    </row>
    <row r="42" spans="1:6" x14ac:dyDescent="0.3">
      <c r="A42" s="7">
        <v>41</v>
      </c>
      <c r="B42" t="s">
        <v>363</v>
      </c>
      <c r="C42" t="s">
        <v>362</v>
      </c>
      <c r="D42" s="6">
        <f ca="1">'City.csv'!D42</f>
        <v>1435536000</v>
      </c>
      <c r="E42">
        <f ca="1">'City.csv'!C42*4</f>
        <v>16</v>
      </c>
      <c r="F42" t="str">
        <f t="shared" ca="1" si="0"/>
        <v>False</v>
      </c>
    </row>
    <row r="43" spans="1:6" x14ac:dyDescent="0.3">
      <c r="A43" s="7">
        <v>42</v>
      </c>
      <c r="B43" t="s">
        <v>363</v>
      </c>
      <c r="C43" t="s">
        <v>362</v>
      </c>
      <c r="D43" s="6">
        <f ca="1">'City.csv'!D43</f>
        <v>1454544000</v>
      </c>
      <c r="E43">
        <f ca="1">'City.csv'!C43*4</f>
        <v>108</v>
      </c>
      <c r="F43" t="str">
        <f t="shared" ca="1" si="0"/>
        <v>False</v>
      </c>
    </row>
    <row r="44" spans="1:6" x14ac:dyDescent="0.3">
      <c r="A44" s="7">
        <v>43</v>
      </c>
      <c r="B44" t="s">
        <v>363</v>
      </c>
      <c r="C44" t="s">
        <v>362</v>
      </c>
      <c r="D44" s="6">
        <f ca="1">'City.csv'!D44</f>
        <v>1503705600</v>
      </c>
      <c r="E44">
        <f ca="1">'City.csv'!C44*4</f>
        <v>52</v>
      </c>
      <c r="F44" t="str">
        <f t="shared" ca="1" si="0"/>
        <v>False</v>
      </c>
    </row>
    <row r="45" spans="1:6" x14ac:dyDescent="0.3">
      <c r="A45" s="7">
        <v>44</v>
      </c>
      <c r="B45" t="s">
        <v>363</v>
      </c>
      <c r="C45" t="s">
        <v>362</v>
      </c>
      <c r="D45" s="6">
        <f ca="1">'City.csv'!D45</f>
        <v>1502409600</v>
      </c>
      <c r="E45">
        <f ca="1">'City.csv'!C45*4</f>
        <v>76</v>
      </c>
      <c r="F45" t="str">
        <f t="shared" ca="1" si="0"/>
        <v>False</v>
      </c>
    </row>
    <row r="46" spans="1:6" x14ac:dyDescent="0.3">
      <c r="A46" s="7">
        <v>45</v>
      </c>
      <c r="B46" t="s">
        <v>363</v>
      </c>
      <c r="C46" t="s">
        <v>362</v>
      </c>
      <c r="D46" s="6">
        <f ca="1">'City.csv'!D46</f>
        <v>1505692800</v>
      </c>
      <c r="E46">
        <f ca="1">'City.csv'!C46*4</f>
        <v>112</v>
      </c>
      <c r="F46" t="str">
        <f t="shared" ca="1" si="0"/>
        <v>False</v>
      </c>
    </row>
    <row r="47" spans="1:6" x14ac:dyDescent="0.3">
      <c r="A47" s="7">
        <v>46</v>
      </c>
      <c r="B47" t="s">
        <v>363</v>
      </c>
      <c r="C47" t="s">
        <v>362</v>
      </c>
      <c r="D47" s="6">
        <f ca="1">'City.csv'!D47</f>
        <v>1435536000</v>
      </c>
      <c r="E47">
        <f ca="1">'City.csv'!C47*4</f>
        <v>84</v>
      </c>
      <c r="F47" t="str">
        <f t="shared" ca="1" si="0"/>
        <v>False</v>
      </c>
    </row>
    <row r="48" spans="1:6" x14ac:dyDescent="0.3">
      <c r="A48" s="7">
        <v>47</v>
      </c>
      <c r="B48" t="s">
        <v>363</v>
      </c>
      <c r="C48" t="s">
        <v>362</v>
      </c>
      <c r="D48" s="6">
        <f ca="1">'City.csv'!D48</f>
        <v>1482364800</v>
      </c>
      <c r="E48">
        <f ca="1">'City.csv'!C48*4</f>
        <v>80</v>
      </c>
      <c r="F48" t="str">
        <f t="shared" ca="1" si="0"/>
        <v>False</v>
      </c>
    </row>
    <row r="49" spans="1:6" x14ac:dyDescent="0.3">
      <c r="A49" s="7">
        <v>48</v>
      </c>
      <c r="B49" t="s">
        <v>363</v>
      </c>
      <c r="C49" t="s">
        <v>362</v>
      </c>
      <c r="D49" s="6">
        <f ca="1">'City.csv'!D49</f>
        <v>1440201600</v>
      </c>
      <c r="E49">
        <f ca="1">'City.csv'!C49*4</f>
        <v>40</v>
      </c>
      <c r="F49" t="str">
        <f t="shared" ca="1" si="0"/>
        <v>False</v>
      </c>
    </row>
    <row r="50" spans="1:6" x14ac:dyDescent="0.3">
      <c r="A50" s="7">
        <v>49</v>
      </c>
      <c r="B50" t="s">
        <v>363</v>
      </c>
      <c r="C50" t="s">
        <v>362</v>
      </c>
      <c r="D50" s="6">
        <f ca="1">'City.csv'!D50</f>
        <v>1486252800</v>
      </c>
      <c r="E50">
        <f ca="1">'City.csv'!C50*4</f>
        <v>20</v>
      </c>
      <c r="F50" t="str">
        <f t="shared" ca="1" si="0"/>
        <v>False</v>
      </c>
    </row>
    <row r="51" spans="1:6" x14ac:dyDescent="0.3">
      <c r="A51" s="7">
        <v>50</v>
      </c>
      <c r="B51" t="s">
        <v>363</v>
      </c>
      <c r="C51" t="s">
        <v>362</v>
      </c>
      <c r="D51" s="6">
        <f ca="1">'City.csv'!D51</f>
        <v>1479772800</v>
      </c>
      <c r="E51">
        <f ca="1">'City.csv'!C51*4</f>
        <v>60</v>
      </c>
      <c r="F51" t="str">
        <f t="shared" ca="1" si="0"/>
        <v>False</v>
      </c>
    </row>
    <row r="52" spans="1:6" x14ac:dyDescent="0.3">
      <c r="A52" s="7">
        <v>51</v>
      </c>
      <c r="B52" t="s">
        <v>363</v>
      </c>
      <c r="C52" t="s">
        <v>362</v>
      </c>
      <c r="D52" s="6">
        <f ca="1">'City.csv'!D52</f>
        <v>1511654400</v>
      </c>
      <c r="E52">
        <f ca="1">'City.csv'!C52*4</f>
        <v>104</v>
      </c>
      <c r="F52" t="str">
        <f t="shared" ca="1" si="0"/>
        <v>False</v>
      </c>
    </row>
    <row r="53" spans="1:6" x14ac:dyDescent="0.3">
      <c r="A53" s="7">
        <v>52</v>
      </c>
      <c r="B53" t="s">
        <v>363</v>
      </c>
      <c r="C53" t="s">
        <v>362</v>
      </c>
      <c r="D53" s="6">
        <f ca="1">'City.csv'!D53</f>
        <v>1442620800</v>
      </c>
      <c r="E53">
        <f ca="1">'City.csv'!C53*4</f>
        <v>48</v>
      </c>
      <c r="F53" t="str">
        <f t="shared" ca="1" si="0"/>
        <v>False</v>
      </c>
    </row>
    <row r="54" spans="1:6" x14ac:dyDescent="0.3">
      <c r="A54" s="7">
        <v>53</v>
      </c>
      <c r="B54" t="s">
        <v>363</v>
      </c>
      <c r="C54" t="s">
        <v>362</v>
      </c>
      <c r="D54" s="6">
        <f ca="1">'City.csv'!D54</f>
        <v>1513987200</v>
      </c>
      <c r="E54">
        <f ca="1">'City.csv'!C54*4</f>
        <v>120</v>
      </c>
      <c r="F54" t="str">
        <f t="shared" ca="1" si="0"/>
        <v>False</v>
      </c>
    </row>
    <row r="55" spans="1:6" x14ac:dyDescent="0.3">
      <c r="A55" s="7">
        <v>54</v>
      </c>
      <c r="B55" t="s">
        <v>363</v>
      </c>
      <c r="C55" t="s">
        <v>362</v>
      </c>
      <c r="D55" s="6">
        <f ca="1">'City.csv'!D55</f>
        <v>1451952000</v>
      </c>
      <c r="E55">
        <f ca="1">'City.csv'!C55*4</f>
        <v>12</v>
      </c>
      <c r="F55" t="str">
        <f t="shared" ca="1" si="0"/>
        <v>False</v>
      </c>
    </row>
    <row r="56" spans="1:6" x14ac:dyDescent="0.3">
      <c r="A56" s="7">
        <v>55</v>
      </c>
      <c r="B56" t="s">
        <v>363</v>
      </c>
      <c r="C56" t="s">
        <v>362</v>
      </c>
      <c r="D56" s="6">
        <f ca="1">'City.csv'!D56</f>
        <v>1492646400</v>
      </c>
      <c r="E56">
        <f ca="1">'City.csv'!C56*4</f>
        <v>16</v>
      </c>
      <c r="F56" t="str">
        <f t="shared" ca="1" si="0"/>
        <v>False</v>
      </c>
    </row>
    <row r="57" spans="1:6" x14ac:dyDescent="0.3">
      <c r="A57" s="7">
        <v>56</v>
      </c>
      <c r="B57" t="s">
        <v>363</v>
      </c>
      <c r="C57" t="s">
        <v>362</v>
      </c>
      <c r="D57" s="6">
        <f ca="1">'City.csv'!D57</f>
        <v>1465257600</v>
      </c>
      <c r="E57">
        <f ca="1">'City.csv'!C57*4</f>
        <v>120</v>
      </c>
      <c r="F57" t="str">
        <f t="shared" ca="1" si="0"/>
        <v>False</v>
      </c>
    </row>
    <row r="58" spans="1:6" x14ac:dyDescent="0.3">
      <c r="A58" s="7">
        <v>57</v>
      </c>
      <c r="B58" t="s">
        <v>363</v>
      </c>
      <c r="C58" t="s">
        <v>362</v>
      </c>
      <c r="D58" s="6">
        <f ca="1">'City.csv'!D58</f>
        <v>1484352000</v>
      </c>
      <c r="E58">
        <f ca="1">'City.csv'!C58*4</f>
        <v>112</v>
      </c>
      <c r="F58" t="str">
        <f t="shared" ca="1" si="0"/>
        <v>False</v>
      </c>
    </row>
    <row r="59" spans="1:6" x14ac:dyDescent="0.3">
      <c r="A59" s="7">
        <v>58</v>
      </c>
      <c r="B59" t="s">
        <v>363</v>
      </c>
      <c r="C59" t="s">
        <v>362</v>
      </c>
      <c r="D59" s="6">
        <f ca="1">'City.csv'!D59</f>
        <v>1475884800</v>
      </c>
      <c r="E59">
        <f ca="1">'City.csv'!C59*4</f>
        <v>96</v>
      </c>
      <c r="F59" t="str">
        <f t="shared" ca="1" si="0"/>
        <v>False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59FB6-3487-450D-91A7-DE9F51133CEC}">
  <dimension ref="A1:D59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4" style="7" bestFit="1" customWidth="1"/>
    <col min="2" max="2" width="27" bestFit="1" customWidth="1"/>
    <col min="3" max="3" width="20.77734375" bestFit="1" customWidth="1"/>
    <col min="4" max="4" width="13.21875" style="6" bestFit="1" customWidth="1"/>
  </cols>
  <sheetData>
    <row r="1" spans="1:4" s="2" customFormat="1" x14ac:dyDescent="0.3">
      <c r="A1" s="8" t="s">
        <v>3</v>
      </c>
      <c r="B1" s="2" t="s">
        <v>350</v>
      </c>
      <c r="C1" s="2" t="s">
        <v>380</v>
      </c>
      <c r="D1" s="9" t="s">
        <v>366</v>
      </c>
    </row>
    <row r="2" spans="1:4" x14ac:dyDescent="0.3">
      <c r="A2" s="7">
        <v>1</v>
      </c>
      <c r="B2" t="s">
        <v>381</v>
      </c>
      <c r="C2">
        <f ca="1">Liquor.csv!C2</f>
        <v>27</v>
      </c>
      <c r="D2" s="6">
        <f ca="1">_xlfn.NUMBERVALUE( (TODAY()-RANDBETWEEN(1,1000))-DATE(1970,1,1) )*86400</f>
        <v>1503446400</v>
      </c>
    </row>
    <row r="3" spans="1:4" x14ac:dyDescent="0.3">
      <c r="A3" s="7">
        <v>2</v>
      </c>
      <c r="B3" t="s">
        <v>381</v>
      </c>
      <c r="C3">
        <f ca="1">Liquor.csv!C3</f>
        <v>7</v>
      </c>
      <c r="D3" s="6">
        <f t="shared" ref="D3:D59" ca="1" si="0">_xlfn.NUMBERVALUE( (TODAY()-RANDBETWEEN(1,1000))-DATE(1970,1,1) )*86400</f>
        <v>1498435200</v>
      </c>
    </row>
    <row r="4" spans="1:4" x14ac:dyDescent="0.3">
      <c r="A4" s="7">
        <v>3</v>
      </c>
      <c r="B4" t="s">
        <v>381</v>
      </c>
      <c r="C4">
        <f ca="1">Liquor.csv!C4</f>
        <v>25</v>
      </c>
      <c r="D4" s="6">
        <f t="shared" ca="1" si="0"/>
        <v>1473897600</v>
      </c>
    </row>
    <row r="5" spans="1:4" x14ac:dyDescent="0.3">
      <c r="A5" s="7">
        <v>4</v>
      </c>
      <c r="B5" t="s">
        <v>381</v>
      </c>
      <c r="C5">
        <f ca="1">Liquor.csv!C5</f>
        <v>10</v>
      </c>
      <c r="D5" s="6">
        <f t="shared" ca="1" si="0"/>
        <v>1441152000</v>
      </c>
    </row>
    <row r="6" spans="1:4" x14ac:dyDescent="0.3">
      <c r="A6" s="7">
        <v>5</v>
      </c>
      <c r="B6" t="s">
        <v>381</v>
      </c>
      <c r="C6">
        <f ca="1">Liquor.csv!C6</f>
        <v>3</v>
      </c>
      <c r="D6" s="6">
        <f t="shared" ca="1" si="0"/>
        <v>1509840000</v>
      </c>
    </row>
    <row r="7" spans="1:4" x14ac:dyDescent="0.3">
      <c r="A7" s="7">
        <v>6</v>
      </c>
      <c r="B7" t="s">
        <v>381</v>
      </c>
      <c r="C7">
        <f ca="1">Liquor.csv!C7</f>
        <v>18</v>
      </c>
      <c r="D7" s="6">
        <f t="shared" ca="1" si="0"/>
        <v>1437523200</v>
      </c>
    </row>
    <row r="8" spans="1:4" x14ac:dyDescent="0.3">
      <c r="A8" s="7">
        <v>7</v>
      </c>
      <c r="B8" t="s">
        <v>381</v>
      </c>
      <c r="C8">
        <f ca="1">Liquor.csv!C8</f>
        <v>16</v>
      </c>
      <c r="D8" s="6">
        <f t="shared" ca="1" si="0"/>
        <v>1485216000</v>
      </c>
    </row>
    <row r="9" spans="1:4" x14ac:dyDescent="0.3">
      <c r="A9" s="7">
        <v>8</v>
      </c>
      <c r="B9" t="s">
        <v>381</v>
      </c>
      <c r="C9">
        <f ca="1">Liquor.csv!C9</f>
        <v>29</v>
      </c>
      <c r="D9" s="6">
        <f t="shared" ca="1" si="0"/>
        <v>1442793600</v>
      </c>
    </row>
    <row r="10" spans="1:4" x14ac:dyDescent="0.3">
      <c r="A10" s="7">
        <v>9</v>
      </c>
      <c r="B10" t="s">
        <v>381</v>
      </c>
      <c r="C10">
        <f ca="1">Liquor.csv!C10</f>
        <v>30</v>
      </c>
      <c r="D10" s="6">
        <f t="shared" ca="1" si="0"/>
        <v>1507075200</v>
      </c>
    </row>
    <row r="11" spans="1:4" x14ac:dyDescent="0.3">
      <c r="A11" s="7">
        <v>10</v>
      </c>
      <c r="B11" t="s">
        <v>381</v>
      </c>
      <c r="C11">
        <f ca="1">Liquor.csv!C11</f>
        <v>11</v>
      </c>
      <c r="D11" s="6">
        <f t="shared" ca="1" si="0"/>
        <v>1495756800</v>
      </c>
    </row>
    <row r="12" spans="1:4" x14ac:dyDescent="0.3">
      <c r="A12" s="7">
        <v>11</v>
      </c>
      <c r="B12" t="s">
        <v>381</v>
      </c>
      <c r="C12">
        <f ca="1">Liquor.csv!C12</f>
        <v>21</v>
      </c>
      <c r="D12" s="6">
        <f t="shared" ca="1" si="0"/>
        <v>1467417600</v>
      </c>
    </row>
    <row r="13" spans="1:4" x14ac:dyDescent="0.3">
      <c r="A13" s="7">
        <v>12</v>
      </c>
      <c r="B13" t="s">
        <v>381</v>
      </c>
      <c r="C13">
        <f ca="1">Liquor.csv!C13</f>
        <v>25</v>
      </c>
      <c r="D13" s="6">
        <f t="shared" ca="1" si="0"/>
        <v>1508716800</v>
      </c>
    </row>
    <row r="14" spans="1:4" x14ac:dyDescent="0.3">
      <c r="A14" s="7">
        <v>13</v>
      </c>
      <c r="B14" t="s">
        <v>381</v>
      </c>
      <c r="C14">
        <f ca="1">Liquor.csv!C14</f>
        <v>4</v>
      </c>
      <c r="D14" s="6">
        <f t="shared" ca="1" si="0"/>
        <v>1472083200</v>
      </c>
    </row>
    <row r="15" spans="1:4" x14ac:dyDescent="0.3">
      <c r="A15" s="7">
        <v>14</v>
      </c>
      <c r="B15" t="s">
        <v>381</v>
      </c>
      <c r="C15">
        <f ca="1">Liquor.csv!C15</f>
        <v>22</v>
      </c>
      <c r="D15" s="6">
        <f t="shared" ca="1" si="0"/>
        <v>1497830400</v>
      </c>
    </row>
    <row r="16" spans="1:4" x14ac:dyDescent="0.3">
      <c r="A16" s="7">
        <v>15</v>
      </c>
      <c r="B16" t="s">
        <v>381</v>
      </c>
      <c r="C16">
        <f ca="1">Liquor.csv!C16</f>
        <v>22</v>
      </c>
      <c r="D16" s="6">
        <f t="shared" ca="1" si="0"/>
        <v>1446422400</v>
      </c>
    </row>
    <row r="17" spans="1:4" x14ac:dyDescent="0.3">
      <c r="A17" s="7">
        <v>16</v>
      </c>
      <c r="B17" t="s">
        <v>381</v>
      </c>
      <c r="C17">
        <f ca="1">Liquor.csv!C17</f>
        <v>15</v>
      </c>
      <c r="D17" s="6">
        <f t="shared" ca="1" si="0"/>
        <v>1438300800</v>
      </c>
    </row>
    <row r="18" spans="1:4" x14ac:dyDescent="0.3">
      <c r="A18" s="7">
        <v>17</v>
      </c>
      <c r="B18" t="s">
        <v>381</v>
      </c>
      <c r="C18">
        <f ca="1">Liquor.csv!C18</f>
        <v>27</v>
      </c>
      <c r="D18" s="6">
        <f t="shared" ca="1" si="0"/>
        <v>1433203200</v>
      </c>
    </row>
    <row r="19" spans="1:4" x14ac:dyDescent="0.3">
      <c r="A19" s="7">
        <v>18</v>
      </c>
      <c r="B19" t="s">
        <v>381</v>
      </c>
      <c r="C19">
        <f ca="1">Liquor.csv!C19</f>
        <v>21</v>
      </c>
      <c r="D19" s="6">
        <f t="shared" ca="1" si="0"/>
        <v>1473638400</v>
      </c>
    </row>
    <row r="20" spans="1:4" x14ac:dyDescent="0.3">
      <c r="A20" s="7">
        <v>19</v>
      </c>
      <c r="B20" t="s">
        <v>381</v>
      </c>
      <c r="C20">
        <f ca="1">Liquor.csv!C20</f>
        <v>9</v>
      </c>
      <c r="D20" s="6">
        <f t="shared" ca="1" si="0"/>
        <v>1467676800</v>
      </c>
    </row>
    <row r="21" spans="1:4" x14ac:dyDescent="0.3">
      <c r="A21" s="7">
        <v>20</v>
      </c>
      <c r="B21" t="s">
        <v>381</v>
      </c>
      <c r="C21">
        <f ca="1">Liquor.csv!C21</f>
        <v>26</v>
      </c>
      <c r="D21" s="6">
        <f t="shared" ca="1" si="0"/>
        <v>1501718400</v>
      </c>
    </row>
    <row r="22" spans="1:4" x14ac:dyDescent="0.3">
      <c r="A22" s="7">
        <v>21</v>
      </c>
      <c r="B22" t="s">
        <v>381</v>
      </c>
      <c r="C22">
        <f ca="1">Liquor.csv!C22</f>
        <v>4</v>
      </c>
      <c r="D22" s="6">
        <f t="shared" ca="1" si="0"/>
        <v>1491177600</v>
      </c>
    </row>
    <row r="23" spans="1:4" x14ac:dyDescent="0.3">
      <c r="A23" s="7">
        <v>22</v>
      </c>
      <c r="B23" t="s">
        <v>381</v>
      </c>
      <c r="C23">
        <f ca="1">Liquor.csv!C23</f>
        <v>29</v>
      </c>
      <c r="D23" s="6">
        <f t="shared" ca="1" si="0"/>
        <v>1493078400</v>
      </c>
    </row>
    <row r="24" spans="1:4" x14ac:dyDescent="0.3">
      <c r="A24" s="7">
        <v>23</v>
      </c>
      <c r="B24" t="s">
        <v>381</v>
      </c>
      <c r="C24">
        <f ca="1">Liquor.csv!C24</f>
        <v>30</v>
      </c>
      <c r="D24" s="6">
        <f t="shared" ca="1" si="0"/>
        <v>1455753600</v>
      </c>
    </row>
    <row r="25" spans="1:4" x14ac:dyDescent="0.3">
      <c r="A25" s="7">
        <v>24</v>
      </c>
      <c r="B25" t="s">
        <v>381</v>
      </c>
      <c r="C25">
        <f ca="1">Liquor.csv!C25</f>
        <v>28</v>
      </c>
      <c r="D25" s="6">
        <f t="shared" ca="1" si="0"/>
        <v>1514332800</v>
      </c>
    </row>
    <row r="26" spans="1:4" x14ac:dyDescent="0.3">
      <c r="A26" s="7">
        <v>25</v>
      </c>
      <c r="B26" t="s">
        <v>381</v>
      </c>
      <c r="C26">
        <f ca="1">Liquor.csv!C26</f>
        <v>20</v>
      </c>
      <c r="D26" s="6">
        <f t="shared" ca="1" si="0"/>
        <v>1434412800</v>
      </c>
    </row>
    <row r="27" spans="1:4" x14ac:dyDescent="0.3">
      <c r="A27" s="7">
        <v>26</v>
      </c>
      <c r="B27" t="s">
        <v>381</v>
      </c>
      <c r="C27">
        <f ca="1">Liquor.csv!C27</f>
        <v>10</v>
      </c>
      <c r="D27" s="6">
        <f t="shared" ca="1" si="0"/>
        <v>1477440000</v>
      </c>
    </row>
    <row r="28" spans="1:4" x14ac:dyDescent="0.3">
      <c r="A28" s="7">
        <v>27</v>
      </c>
      <c r="B28" t="s">
        <v>381</v>
      </c>
      <c r="C28">
        <f ca="1">Liquor.csv!C28</f>
        <v>14</v>
      </c>
      <c r="D28" s="6">
        <f t="shared" ca="1" si="0"/>
        <v>1439856000</v>
      </c>
    </row>
    <row r="29" spans="1:4" x14ac:dyDescent="0.3">
      <c r="A29" s="7">
        <v>28</v>
      </c>
      <c r="B29" t="s">
        <v>381</v>
      </c>
      <c r="C29">
        <f ca="1">Liquor.csv!C29</f>
        <v>15</v>
      </c>
      <c r="D29" s="6">
        <f t="shared" ca="1" si="0"/>
        <v>1502409600</v>
      </c>
    </row>
    <row r="30" spans="1:4" x14ac:dyDescent="0.3">
      <c r="A30" s="7">
        <v>29</v>
      </c>
      <c r="B30" t="s">
        <v>381</v>
      </c>
      <c r="C30">
        <f ca="1">Liquor.csv!C30</f>
        <v>9</v>
      </c>
      <c r="D30" s="6">
        <f t="shared" ca="1" si="0"/>
        <v>1496793600</v>
      </c>
    </row>
    <row r="31" spans="1:4" x14ac:dyDescent="0.3">
      <c r="A31" s="7">
        <v>30</v>
      </c>
      <c r="B31" t="s">
        <v>381</v>
      </c>
      <c r="C31">
        <f ca="1">Liquor.csv!C31</f>
        <v>17</v>
      </c>
      <c r="D31" s="6">
        <f t="shared" ca="1" si="0"/>
        <v>1491004800</v>
      </c>
    </row>
    <row r="32" spans="1:4" x14ac:dyDescent="0.3">
      <c r="A32" s="7">
        <v>31</v>
      </c>
      <c r="B32" t="s">
        <v>381</v>
      </c>
      <c r="C32">
        <f ca="1">Liquor.csv!C32</f>
        <v>12</v>
      </c>
      <c r="D32" s="6">
        <f t="shared" ca="1" si="0"/>
        <v>1443225600</v>
      </c>
    </row>
    <row r="33" spans="1:4" x14ac:dyDescent="0.3">
      <c r="A33" s="7">
        <v>32</v>
      </c>
      <c r="B33" t="s">
        <v>381</v>
      </c>
      <c r="C33">
        <f ca="1">Liquor.csv!C33</f>
        <v>8</v>
      </c>
      <c r="D33" s="6">
        <f t="shared" ca="1" si="0"/>
        <v>1449187200</v>
      </c>
    </row>
    <row r="34" spans="1:4" x14ac:dyDescent="0.3">
      <c r="A34" s="7">
        <v>33</v>
      </c>
      <c r="B34" t="s">
        <v>381</v>
      </c>
      <c r="C34">
        <f ca="1">Liquor.csv!C34</f>
        <v>10</v>
      </c>
      <c r="D34" s="6">
        <f t="shared" ca="1" si="0"/>
        <v>1453161600</v>
      </c>
    </row>
    <row r="35" spans="1:4" x14ac:dyDescent="0.3">
      <c r="A35" s="7">
        <v>34</v>
      </c>
      <c r="B35" t="s">
        <v>381</v>
      </c>
      <c r="C35">
        <f ca="1">Liquor.csv!C35</f>
        <v>14</v>
      </c>
      <c r="D35" s="6">
        <f t="shared" ca="1" si="0"/>
        <v>1486771200</v>
      </c>
    </row>
    <row r="36" spans="1:4" x14ac:dyDescent="0.3">
      <c r="A36" s="7">
        <v>35</v>
      </c>
      <c r="B36" t="s">
        <v>381</v>
      </c>
      <c r="C36">
        <f ca="1">Liquor.csv!C36</f>
        <v>13</v>
      </c>
      <c r="D36" s="6">
        <f t="shared" ca="1" si="0"/>
        <v>1515369600</v>
      </c>
    </row>
    <row r="37" spans="1:4" x14ac:dyDescent="0.3">
      <c r="A37" s="7">
        <v>36</v>
      </c>
      <c r="B37" t="s">
        <v>381</v>
      </c>
      <c r="C37">
        <f ca="1">Liquor.csv!C37</f>
        <v>19</v>
      </c>
      <c r="D37" s="6">
        <f t="shared" ca="1" si="0"/>
        <v>1517702400</v>
      </c>
    </row>
    <row r="38" spans="1:4" x14ac:dyDescent="0.3">
      <c r="A38" s="7">
        <v>37</v>
      </c>
      <c r="B38" t="s">
        <v>381</v>
      </c>
      <c r="C38">
        <f ca="1">Liquor.csv!C38</f>
        <v>8</v>
      </c>
      <c r="D38" s="6">
        <f t="shared" ca="1" si="0"/>
        <v>1493769600</v>
      </c>
    </row>
    <row r="39" spans="1:4" x14ac:dyDescent="0.3">
      <c r="A39" s="7">
        <v>38</v>
      </c>
      <c r="B39" t="s">
        <v>381</v>
      </c>
      <c r="C39">
        <f ca="1">Liquor.csv!C39</f>
        <v>29</v>
      </c>
      <c r="D39" s="6">
        <f t="shared" ca="1" si="0"/>
        <v>1518912000</v>
      </c>
    </row>
    <row r="40" spans="1:4" x14ac:dyDescent="0.3">
      <c r="A40" s="7">
        <v>39</v>
      </c>
      <c r="B40" t="s">
        <v>381</v>
      </c>
      <c r="C40">
        <f ca="1">Liquor.csv!C40</f>
        <v>7</v>
      </c>
      <c r="D40" s="6">
        <f t="shared" ca="1" si="0"/>
        <v>1513209600</v>
      </c>
    </row>
    <row r="41" spans="1:4" x14ac:dyDescent="0.3">
      <c r="A41" s="7">
        <v>40</v>
      </c>
      <c r="B41" t="s">
        <v>381</v>
      </c>
      <c r="C41">
        <f ca="1">Liquor.csv!C41</f>
        <v>24</v>
      </c>
      <c r="D41" s="6">
        <f t="shared" ca="1" si="0"/>
        <v>1461283200</v>
      </c>
    </row>
    <row r="42" spans="1:4" x14ac:dyDescent="0.3">
      <c r="A42" s="7">
        <v>41</v>
      </c>
      <c r="B42" t="s">
        <v>381</v>
      </c>
      <c r="C42">
        <f ca="1">Liquor.csv!C42</f>
        <v>4</v>
      </c>
      <c r="D42" s="6">
        <f t="shared" ca="1" si="0"/>
        <v>1435536000</v>
      </c>
    </row>
    <row r="43" spans="1:4" x14ac:dyDescent="0.3">
      <c r="A43" s="7">
        <v>42</v>
      </c>
      <c r="B43" t="s">
        <v>381</v>
      </c>
      <c r="C43">
        <f ca="1">Liquor.csv!C43</f>
        <v>27</v>
      </c>
      <c r="D43" s="6">
        <f t="shared" ca="1" si="0"/>
        <v>1454544000</v>
      </c>
    </row>
    <row r="44" spans="1:4" x14ac:dyDescent="0.3">
      <c r="A44" s="7">
        <v>43</v>
      </c>
      <c r="B44" t="s">
        <v>381</v>
      </c>
      <c r="C44">
        <f ca="1">Liquor.csv!C44</f>
        <v>13</v>
      </c>
      <c r="D44" s="6">
        <f t="shared" ca="1" si="0"/>
        <v>1503705600</v>
      </c>
    </row>
    <row r="45" spans="1:4" x14ac:dyDescent="0.3">
      <c r="A45" s="7">
        <v>44</v>
      </c>
      <c r="B45" t="s">
        <v>381</v>
      </c>
      <c r="C45">
        <f ca="1">Liquor.csv!C45</f>
        <v>19</v>
      </c>
      <c r="D45" s="6">
        <f t="shared" ca="1" si="0"/>
        <v>1502409600</v>
      </c>
    </row>
    <row r="46" spans="1:4" x14ac:dyDescent="0.3">
      <c r="A46" s="7">
        <v>45</v>
      </c>
      <c r="B46" t="s">
        <v>381</v>
      </c>
      <c r="C46">
        <f ca="1">Liquor.csv!C46</f>
        <v>28</v>
      </c>
      <c r="D46" s="6">
        <f t="shared" ca="1" si="0"/>
        <v>1505692800</v>
      </c>
    </row>
    <row r="47" spans="1:4" x14ac:dyDescent="0.3">
      <c r="A47" s="7">
        <v>46</v>
      </c>
      <c r="B47" t="s">
        <v>381</v>
      </c>
      <c r="C47">
        <f ca="1">Liquor.csv!C47</f>
        <v>21</v>
      </c>
      <c r="D47" s="6">
        <f t="shared" ca="1" si="0"/>
        <v>1435536000</v>
      </c>
    </row>
    <row r="48" spans="1:4" x14ac:dyDescent="0.3">
      <c r="A48" s="7">
        <v>47</v>
      </c>
      <c r="B48" t="s">
        <v>381</v>
      </c>
      <c r="C48">
        <f ca="1">Liquor.csv!C48</f>
        <v>20</v>
      </c>
      <c r="D48" s="6">
        <f t="shared" ca="1" si="0"/>
        <v>1482364800</v>
      </c>
    </row>
    <row r="49" spans="1:4" x14ac:dyDescent="0.3">
      <c r="A49" s="7">
        <v>48</v>
      </c>
      <c r="B49" t="s">
        <v>381</v>
      </c>
      <c r="C49">
        <f ca="1">Liquor.csv!C49</f>
        <v>10</v>
      </c>
      <c r="D49" s="6">
        <f t="shared" ca="1" si="0"/>
        <v>1440201600</v>
      </c>
    </row>
    <row r="50" spans="1:4" x14ac:dyDescent="0.3">
      <c r="A50" s="7">
        <v>49</v>
      </c>
      <c r="B50" t="s">
        <v>381</v>
      </c>
      <c r="C50">
        <f ca="1">Liquor.csv!C50</f>
        <v>5</v>
      </c>
      <c r="D50" s="6">
        <f t="shared" ca="1" si="0"/>
        <v>1486252800</v>
      </c>
    </row>
    <row r="51" spans="1:4" x14ac:dyDescent="0.3">
      <c r="A51" s="7">
        <v>50</v>
      </c>
      <c r="B51" t="s">
        <v>381</v>
      </c>
      <c r="C51">
        <f ca="1">Liquor.csv!C51</f>
        <v>15</v>
      </c>
      <c r="D51" s="6">
        <f t="shared" ca="1" si="0"/>
        <v>1479772800</v>
      </c>
    </row>
    <row r="52" spans="1:4" x14ac:dyDescent="0.3">
      <c r="A52" s="7">
        <v>51</v>
      </c>
      <c r="B52" t="s">
        <v>381</v>
      </c>
      <c r="C52">
        <f ca="1">Liquor.csv!C52</f>
        <v>26</v>
      </c>
      <c r="D52" s="6">
        <f t="shared" ca="1" si="0"/>
        <v>1511654400</v>
      </c>
    </row>
    <row r="53" spans="1:4" x14ac:dyDescent="0.3">
      <c r="A53" s="7">
        <v>52</v>
      </c>
      <c r="B53" t="s">
        <v>381</v>
      </c>
      <c r="C53">
        <f ca="1">Liquor.csv!C53</f>
        <v>12</v>
      </c>
      <c r="D53" s="6">
        <f t="shared" ca="1" si="0"/>
        <v>1442620800</v>
      </c>
    </row>
    <row r="54" spans="1:4" x14ac:dyDescent="0.3">
      <c r="A54" s="7">
        <v>53</v>
      </c>
      <c r="B54" t="s">
        <v>381</v>
      </c>
      <c r="C54">
        <f ca="1">Liquor.csv!C54</f>
        <v>30</v>
      </c>
      <c r="D54" s="6">
        <f t="shared" ca="1" si="0"/>
        <v>1513987200</v>
      </c>
    </row>
    <row r="55" spans="1:4" x14ac:dyDescent="0.3">
      <c r="A55" s="7">
        <v>54</v>
      </c>
      <c r="B55" t="s">
        <v>381</v>
      </c>
      <c r="C55">
        <f ca="1">Liquor.csv!C55</f>
        <v>3</v>
      </c>
      <c r="D55" s="6">
        <f t="shared" ca="1" si="0"/>
        <v>1451952000</v>
      </c>
    </row>
    <row r="56" spans="1:4" x14ac:dyDescent="0.3">
      <c r="A56" s="7">
        <v>55</v>
      </c>
      <c r="B56" t="s">
        <v>381</v>
      </c>
      <c r="C56">
        <f ca="1">Liquor.csv!C56</f>
        <v>4</v>
      </c>
      <c r="D56" s="6">
        <f t="shared" ca="1" si="0"/>
        <v>1492646400</v>
      </c>
    </row>
    <row r="57" spans="1:4" x14ac:dyDescent="0.3">
      <c r="A57" s="7">
        <v>56</v>
      </c>
      <c r="B57" t="s">
        <v>381</v>
      </c>
      <c r="C57">
        <f ca="1">Liquor.csv!C57</f>
        <v>30</v>
      </c>
      <c r="D57" s="6">
        <f t="shared" ca="1" si="0"/>
        <v>1465257600</v>
      </c>
    </row>
    <row r="58" spans="1:4" x14ac:dyDescent="0.3">
      <c r="A58" s="7">
        <v>57</v>
      </c>
      <c r="B58" t="s">
        <v>381</v>
      </c>
      <c r="C58">
        <f ca="1">Liquor.csv!C58</f>
        <v>28</v>
      </c>
      <c r="D58" s="6">
        <f t="shared" ca="1" si="0"/>
        <v>1484352000</v>
      </c>
    </row>
    <row r="59" spans="1:4" x14ac:dyDescent="0.3">
      <c r="A59" s="7">
        <v>58</v>
      </c>
      <c r="B59" t="s">
        <v>381</v>
      </c>
      <c r="C59">
        <f ca="1">Liquor.csv!C59</f>
        <v>24</v>
      </c>
      <c r="D59" s="6">
        <f t="shared" ca="1" si="0"/>
        <v>1475884800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59"/>
  <sheetViews>
    <sheetView workbookViewId="0">
      <pane ySplit="1" topLeftCell="A2" activePane="bottomLeft" state="frozen"/>
      <selection pane="bottomLeft"/>
    </sheetView>
  </sheetViews>
  <sheetFormatPr defaultColWidth="8.88671875" defaultRowHeight="14.4" x14ac:dyDescent="0.3"/>
  <cols>
    <col min="1" max="1" width="4" style="7" bestFit="1" customWidth="1"/>
    <col min="2" max="2" width="35.44140625" style="5" bestFit="1" customWidth="1"/>
    <col min="3" max="3" width="21.33203125" style="5" bestFit="1" customWidth="1"/>
    <col min="4" max="4" width="19.21875" style="5" bestFit="1" customWidth="1"/>
    <col min="5" max="5" width="16.21875" style="5" bestFit="1" customWidth="1"/>
    <col min="6" max="6" width="19.33203125" style="5" bestFit="1" customWidth="1"/>
    <col min="7" max="7" width="6.109375" style="5" bestFit="1" customWidth="1"/>
    <col min="8" max="8" width="8.33203125" style="5" bestFit="1" customWidth="1"/>
    <col min="9" max="9" width="11.21875" style="5" bestFit="1" customWidth="1"/>
    <col min="10" max="10" width="7.5546875" style="5" bestFit="1" customWidth="1"/>
    <col min="11" max="16384" width="8.88671875" style="5"/>
  </cols>
  <sheetData>
    <row r="1" spans="1:10" s="2" customFormat="1" x14ac:dyDescent="0.3">
      <c r="A1" s="8" t="s">
        <v>3</v>
      </c>
      <c r="B1" s="2" t="s">
        <v>350</v>
      </c>
      <c r="C1" s="2" t="s">
        <v>351</v>
      </c>
      <c r="D1" s="2" t="s">
        <v>352</v>
      </c>
      <c r="E1" s="2" t="s">
        <v>344</v>
      </c>
      <c r="F1" s="2" t="s">
        <v>353</v>
      </c>
      <c r="G1" s="2" t="s">
        <v>354</v>
      </c>
      <c r="H1" s="2" t="s">
        <v>284</v>
      </c>
      <c r="I1" s="2" t="s">
        <v>355</v>
      </c>
      <c r="J1" s="2" t="s">
        <v>356</v>
      </c>
    </row>
    <row r="2" spans="1:10" x14ac:dyDescent="0.3">
      <c r="A2" s="7">
        <v>1</v>
      </c>
      <c r="B2" s="5" t="s">
        <v>357</v>
      </c>
      <c r="C2" s="5" t="str">
        <f ca="1">'Reg.csv'!C2</f>
        <v>Warner Bar and Grill</v>
      </c>
      <c r="D2" s="1" t="s">
        <v>1199</v>
      </c>
      <c r="E2" s="5" t="str">
        <f>'Reg.csv'!D2</f>
        <v>Lillian Warner</v>
      </c>
      <c r="F2" s="5" t="str">
        <f>'Reg.csv'!E2</f>
        <v>2553 Holdom Avenue</v>
      </c>
      <c r="G2" s="5" t="str">
        <f>'Reg.csv'!F2</f>
        <v>Surrey</v>
      </c>
      <c r="H2" s="5" t="str">
        <f>'Reg.csv'!G2</f>
        <v>BC</v>
      </c>
      <c r="I2" s="5" t="str">
        <f>'Reg.csv'!H2</f>
        <v>V3T 4Y5</v>
      </c>
      <c r="J2" s="5" t="str">
        <f>'Reg.csv'!I2</f>
        <v>CA</v>
      </c>
    </row>
    <row r="3" spans="1:10" x14ac:dyDescent="0.3">
      <c r="A3" s="7">
        <v>2</v>
      </c>
      <c r="B3" s="5" t="s">
        <v>357</v>
      </c>
      <c r="C3" s="5" t="str">
        <f ca="1">'Reg.csv'!C3</f>
        <v>Seng Dining Hall</v>
      </c>
      <c r="D3" s="1" t="s">
        <v>1199</v>
      </c>
      <c r="E3" s="5" t="str">
        <f>'Reg.csv'!D3</f>
        <v>Charles Seng</v>
      </c>
      <c r="F3" s="5" t="str">
        <f>'Reg.csv'!E3</f>
        <v>4761 King George Hwy</v>
      </c>
      <c r="G3" s="5" t="str">
        <f>'Reg.csv'!F3</f>
        <v>Surrey</v>
      </c>
      <c r="H3" s="5" t="str">
        <f>'Reg.csv'!G3</f>
        <v>BC</v>
      </c>
      <c r="I3" s="5" t="str">
        <f>'Reg.csv'!H3</f>
        <v>V3W 4E3</v>
      </c>
      <c r="J3" s="5" t="str">
        <f>'Reg.csv'!I3</f>
        <v>CA</v>
      </c>
    </row>
    <row r="4" spans="1:10" x14ac:dyDescent="0.3">
      <c r="A4" s="7">
        <v>3</v>
      </c>
      <c r="B4" s="5" t="s">
        <v>357</v>
      </c>
      <c r="C4" s="5" t="str">
        <f ca="1">'Reg.csv'!C4</f>
        <v>Carter Dining Room</v>
      </c>
      <c r="D4" s="1" t="s">
        <v>1199</v>
      </c>
      <c r="E4" s="5" t="str">
        <f>'Reg.csv'!D4</f>
        <v>Ronda Carter</v>
      </c>
      <c r="F4" s="5" t="str">
        <f>'Reg.csv'!E4</f>
        <v>1979 King George Hwy</v>
      </c>
      <c r="G4" s="5" t="str">
        <f>'Reg.csv'!F4</f>
        <v>Surrey</v>
      </c>
      <c r="H4" s="5" t="str">
        <f>'Reg.csv'!G4</f>
        <v>BC</v>
      </c>
      <c r="I4" s="5" t="str">
        <f>'Reg.csv'!H4</f>
        <v>V3W 4E3</v>
      </c>
      <c r="J4" s="5" t="str">
        <f>'Reg.csv'!I4</f>
        <v>CA</v>
      </c>
    </row>
    <row r="5" spans="1:10" x14ac:dyDescent="0.3">
      <c r="A5" s="7">
        <v>4</v>
      </c>
      <c r="B5" s="5" t="s">
        <v>357</v>
      </c>
      <c r="C5" s="5" t="str">
        <f ca="1">'Reg.csv'!C5</f>
        <v>Huerta Foods</v>
      </c>
      <c r="D5" s="1" t="s">
        <v>1199</v>
      </c>
      <c r="E5" s="5" t="str">
        <f>'Reg.csv'!D5</f>
        <v>Alma Huerta</v>
      </c>
      <c r="F5" s="5" t="str">
        <f>'Reg.csv'!E5</f>
        <v>2162 King George Hwy</v>
      </c>
      <c r="G5" s="5" t="str">
        <f>'Reg.csv'!F5</f>
        <v>Surrey</v>
      </c>
      <c r="H5" s="5" t="str">
        <f>'Reg.csv'!G5</f>
        <v>BC</v>
      </c>
      <c r="I5" s="5" t="str">
        <f>'Reg.csv'!H5</f>
        <v>V3W 4E3</v>
      </c>
      <c r="J5" s="5" t="str">
        <f>'Reg.csv'!I5</f>
        <v>CA</v>
      </c>
    </row>
    <row r="6" spans="1:10" x14ac:dyDescent="0.3">
      <c r="A6" s="7">
        <v>5</v>
      </c>
      <c r="B6" s="5" t="s">
        <v>357</v>
      </c>
      <c r="C6" s="5" t="str">
        <f ca="1">'Reg.csv'!C6</f>
        <v>Gibson Eatry</v>
      </c>
      <c r="D6" s="1" t="s">
        <v>1199</v>
      </c>
      <c r="E6" s="5" t="str">
        <f>'Reg.csv'!D6</f>
        <v>Jimmie Gibson</v>
      </c>
      <c r="F6" s="5" t="str">
        <f>'Reg.csv'!E6</f>
        <v>2559 Holdom Avenue</v>
      </c>
      <c r="G6" s="5" t="str">
        <f>'Reg.csv'!F6</f>
        <v>Surrey</v>
      </c>
      <c r="H6" s="5" t="str">
        <f>'Reg.csv'!G6</f>
        <v>BC</v>
      </c>
      <c r="I6" s="5" t="str">
        <f>'Reg.csv'!H6</f>
        <v>V3T 4Y5</v>
      </c>
      <c r="J6" s="5" t="str">
        <f>'Reg.csv'!I6</f>
        <v>CA</v>
      </c>
    </row>
    <row r="7" spans="1:10" x14ac:dyDescent="0.3">
      <c r="A7" s="7">
        <v>6</v>
      </c>
      <c r="B7" s="5" t="s">
        <v>357</v>
      </c>
      <c r="C7" s="5" t="str">
        <f ca="1">'Reg.csv'!C7</f>
        <v>Joplin Carryout</v>
      </c>
      <c r="D7" s="1" t="s">
        <v>1199</v>
      </c>
      <c r="E7" s="5" t="str">
        <f>'Reg.csv'!D7</f>
        <v>Sadie Joplin</v>
      </c>
      <c r="F7" s="5" t="str">
        <f>'Reg.csv'!E7</f>
        <v>2362 Glover Road</v>
      </c>
      <c r="G7" s="5" t="str">
        <f>'Reg.csv'!F7</f>
        <v>Surrey</v>
      </c>
      <c r="H7" s="5" t="str">
        <f>'Reg.csv'!G7</f>
        <v>BC</v>
      </c>
      <c r="I7" s="5" t="str">
        <f>'Reg.csv'!H7</f>
        <v>V3W 4N6</v>
      </c>
      <c r="J7" s="5" t="str">
        <f>'Reg.csv'!I7</f>
        <v>CA</v>
      </c>
    </row>
    <row r="8" spans="1:10" x14ac:dyDescent="0.3">
      <c r="A8" s="7">
        <v>7</v>
      </c>
      <c r="B8" s="5" t="s">
        <v>357</v>
      </c>
      <c r="C8" s="5" t="str">
        <f ca="1">'Reg.csv'!C8</f>
        <v>Porter Cafe</v>
      </c>
      <c r="D8" s="1" t="s">
        <v>1199</v>
      </c>
      <c r="E8" s="5" t="str">
        <f>'Reg.csv'!D8</f>
        <v>Lisa Porter</v>
      </c>
      <c r="F8" s="5" t="str">
        <f>'Reg.csv'!E8</f>
        <v>3357 Glover Road</v>
      </c>
      <c r="G8" s="5" t="str">
        <f>'Reg.csv'!F8</f>
        <v>Surrey</v>
      </c>
      <c r="H8" s="5" t="str">
        <f>'Reg.csv'!G8</f>
        <v>BC</v>
      </c>
      <c r="I8" s="5" t="str">
        <f>'Reg.csv'!H8</f>
        <v>V3S 4C4</v>
      </c>
      <c r="J8" s="5" t="str">
        <f>'Reg.csv'!I8</f>
        <v>CA</v>
      </c>
    </row>
    <row r="9" spans="1:10" x14ac:dyDescent="0.3">
      <c r="A9" s="7">
        <v>8</v>
      </c>
      <c r="B9" s="5" t="s">
        <v>357</v>
      </c>
      <c r="C9" s="5" t="str">
        <f ca="1">'Reg.csv'!C9</f>
        <v>Harrington Saloon</v>
      </c>
      <c r="D9" s="1" t="s">
        <v>1199</v>
      </c>
      <c r="E9" s="5" t="str">
        <f>'Reg.csv'!D9</f>
        <v>Esther Harrington</v>
      </c>
      <c r="F9" s="5" t="str">
        <f>'Reg.csv'!E9</f>
        <v>4883 Glover Road</v>
      </c>
      <c r="G9" s="5" t="str">
        <f>'Reg.csv'!F9</f>
        <v>Surrey</v>
      </c>
      <c r="H9" s="5" t="str">
        <f>'Reg.csv'!G9</f>
        <v>BC</v>
      </c>
      <c r="I9" s="5" t="str">
        <f>'Reg.csv'!H9</f>
        <v>V3W 4N6</v>
      </c>
      <c r="J9" s="5" t="str">
        <f>'Reg.csv'!I9</f>
        <v>CA</v>
      </c>
    </row>
    <row r="10" spans="1:10" x14ac:dyDescent="0.3">
      <c r="A10" s="7">
        <v>9</v>
      </c>
      <c r="B10" s="5" t="s">
        <v>357</v>
      </c>
      <c r="C10" s="5" t="str">
        <f ca="1">'Reg.csv'!C10</f>
        <v>Gonzalez Cafe</v>
      </c>
      <c r="D10" s="1" t="s">
        <v>1199</v>
      </c>
      <c r="E10" s="5" t="str">
        <f>'Reg.csv'!D10</f>
        <v>Brian Gonzalez</v>
      </c>
      <c r="F10" s="5" t="str">
        <f>'Reg.csv'!E10</f>
        <v>728 Glover Road</v>
      </c>
      <c r="G10" s="5" t="str">
        <f>'Reg.csv'!F10</f>
        <v>Surrey</v>
      </c>
      <c r="H10" s="5" t="str">
        <f>'Reg.csv'!G10</f>
        <v>BC</v>
      </c>
      <c r="I10" s="5" t="str">
        <f>'Reg.csv'!H10</f>
        <v>V3S 4C4</v>
      </c>
      <c r="J10" s="5" t="str">
        <f>'Reg.csv'!I10</f>
        <v>CA</v>
      </c>
    </row>
    <row r="11" spans="1:10" x14ac:dyDescent="0.3">
      <c r="A11" s="7">
        <v>10</v>
      </c>
      <c r="B11" s="5" t="s">
        <v>357</v>
      </c>
      <c r="C11" s="5" t="str">
        <f ca="1">'Reg.csv'!C11</f>
        <v>Colbert Trattoria</v>
      </c>
      <c r="D11" s="1" t="s">
        <v>1199</v>
      </c>
      <c r="E11" s="5" t="str">
        <f>'Reg.csv'!D11</f>
        <v>Michael Colbert</v>
      </c>
      <c r="F11" s="5" t="str">
        <f>'Reg.csv'!E11</f>
        <v>2461 Holdom Avenue</v>
      </c>
      <c r="G11" s="5" t="str">
        <f>'Reg.csv'!F11</f>
        <v>Surrey</v>
      </c>
      <c r="H11" s="5" t="str">
        <f>'Reg.csv'!G11</f>
        <v>BC</v>
      </c>
      <c r="I11" s="5" t="str">
        <f>'Reg.csv'!H11</f>
        <v>V3T 4Y5</v>
      </c>
      <c r="J11" s="5" t="str">
        <f>'Reg.csv'!I11</f>
        <v>CA</v>
      </c>
    </row>
    <row r="12" spans="1:10" x14ac:dyDescent="0.3">
      <c r="A12" s="7">
        <v>11</v>
      </c>
      <c r="B12" s="5" t="s">
        <v>357</v>
      </c>
      <c r="C12" s="5" t="str">
        <f ca="1">'Reg.csv'!C12</f>
        <v>Lisi Eating House</v>
      </c>
      <c r="D12" s="1" t="s">
        <v>1199</v>
      </c>
      <c r="E12" s="5" t="str">
        <f>'Reg.csv'!D12</f>
        <v>Marion Lisi</v>
      </c>
      <c r="F12" s="5" t="str">
        <f>'Reg.csv'!E12</f>
        <v>2415 Glover Road</v>
      </c>
      <c r="G12" s="5" t="str">
        <f>'Reg.csv'!F12</f>
        <v>Surrey</v>
      </c>
      <c r="H12" s="5" t="str">
        <f>'Reg.csv'!G12</f>
        <v>BC</v>
      </c>
      <c r="I12" s="5" t="str">
        <f>'Reg.csv'!H12</f>
        <v>V3S 4C4</v>
      </c>
      <c r="J12" s="5" t="str">
        <f>'Reg.csv'!I12</f>
        <v>CA</v>
      </c>
    </row>
    <row r="13" spans="1:10" x14ac:dyDescent="0.3">
      <c r="A13" s="7">
        <v>12</v>
      </c>
      <c r="B13" s="5" t="s">
        <v>357</v>
      </c>
      <c r="C13" s="5" t="str">
        <f ca="1">'Reg.csv'!C13</f>
        <v>Williams Luncheon</v>
      </c>
      <c r="D13" s="1" t="s">
        <v>1199</v>
      </c>
      <c r="E13" s="5" t="str">
        <f>'Reg.csv'!D13</f>
        <v>Anthony Williams</v>
      </c>
      <c r="F13" s="5" t="str">
        <f>'Reg.csv'!E13</f>
        <v>2481 Holdom Avenue</v>
      </c>
      <c r="G13" s="5" t="str">
        <f>'Reg.csv'!F13</f>
        <v>Surrey</v>
      </c>
      <c r="H13" s="5" t="str">
        <f>'Reg.csv'!G13</f>
        <v>BC</v>
      </c>
      <c r="I13" s="5" t="str">
        <f>'Reg.csv'!H13</f>
        <v>V3T 4Y5</v>
      </c>
      <c r="J13" s="5" t="str">
        <f>'Reg.csv'!I13</f>
        <v>CA</v>
      </c>
    </row>
    <row r="14" spans="1:10" x14ac:dyDescent="0.3">
      <c r="A14" s="7">
        <v>13</v>
      </c>
      <c r="B14" s="5" t="s">
        <v>357</v>
      </c>
      <c r="C14" s="5" t="str">
        <f ca="1">'Reg.csv'!C14</f>
        <v>Peirce Inn</v>
      </c>
      <c r="D14" s="1" t="s">
        <v>1199</v>
      </c>
      <c r="E14" s="5" t="str">
        <f>'Reg.csv'!D14</f>
        <v>Dee Peirce</v>
      </c>
      <c r="F14" s="5" t="str">
        <f>'Reg.csv'!E14</f>
        <v>4579 Holdom Avenue</v>
      </c>
      <c r="G14" s="5" t="str">
        <f>'Reg.csv'!F14</f>
        <v>Surrey</v>
      </c>
      <c r="H14" s="5" t="str">
        <f>'Reg.csv'!G14</f>
        <v>BC</v>
      </c>
      <c r="I14" s="5" t="str">
        <f>'Reg.csv'!H14</f>
        <v>V3T 4Y5</v>
      </c>
      <c r="J14" s="5" t="str">
        <f>'Reg.csv'!I14</f>
        <v>CA</v>
      </c>
    </row>
    <row r="15" spans="1:10" x14ac:dyDescent="0.3">
      <c r="A15" s="7">
        <v>14</v>
      </c>
      <c r="B15" s="5" t="s">
        <v>357</v>
      </c>
      <c r="C15" s="5" t="str">
        <f ca="1">'Reg.csv'!C15</f>
        <v>Knight Shack</v>
      </c>
      <c r="D15" s="1" t="s">
        <v>1199</v>
      </c>
      <c r="E15" s="5" t="str">
        <f>'Reg.csv'!D15</f>
        <v>Ronald Knight</v>
      </c>
      <c r="F15" s="5" t="str">
        <f>'Reg.csv'!E15</f>
        <v>3593 King George Hwy</v>
      </c>
      <c r="G15" s="5" t="str">
        <f>'Reg.csv'!F15</f>
        <v>Surrey</v>
      </c>
      <c r="H15" s="5" t="str">
        <f>'Reg.csv'!G15</f>
        <v>BC</v>
      </c>
      <c r="I15" s="5" t="str">
        <f>'Reg.csv'!H15</f>
        <v>V3W 4E3</v>
      </c>
      <c r="J15" s="5" t="str">
        <f>'Reg.csv'!I15</f>
        <v>CA</v>
      </c>
    </row>
    <row r="16" spans="1:10" x14ac:dyDescent="0.3">
      <c r="A16" s="7">
        <v>15</v>
      </c>
      <c r="B16" s="5" t="s">
        <v>357</v>
      </c>
      <c r="C16" s="5" t="str">
        <f ca="1">'Reg.csv'!C16</f>
        <v>Fulford Stand</v>
      </c>
      <c r="D16" s="1" t="s">
        <v>1199</v>
      </c>
      <c r="E16" s="5" t="str">
        <f>'Reg.csv'!D16</f>
        <v>Monica Fulford</v>
      </c>
      <c r="F16" s="5" t="str">
        <f>'Reg.csv'!E16</f>
        <v>3490 Glover Road</v>
      </c>
      <c r="G16" s="5" t="str">
        <f>'Reg.csv'!F16</f>
        <v>Surrey</v>
      </c>
      <c r="H16" s="5" t="str">
        <f>'Reg.csv'!G16</f>
        <v>BC</v>
      </c>
      <c r="I16" s="5" t="str">
        <f>'Reg.csv'!H16</f>
        <v>V3S 4C4</v>
      </c>
      <c r="J16" s="5" t="str">
        <f>'Reg.csv'!I16</f>
        <v>CA</v>
      </c>
    </row>
    <row r="17" spans="1:10" x14ac:dyDescent="0.3">
      <c r="A17" s="7">
        <v>16</v>
      </c>
      <c r="B17" s="5" t="s">
        <v>357</v>
      </c>
      <c r="C17" s="5" t="str">
        <f ca="1">'Reg.csv'!C17</f>
        <v>Locke Eatry</v>
      </c>
      <c r="D17" s="1" t="s">
        <v>1199</v>
      </c>
      <c r="E17" s="5" t="str">
        <f>'Reg.csv'!D17</f>
        <v>Jerry Locke</v>
      </c>
      <c r="F17" s="5" t="str">
        <f>'Reg.csv'!E17</f>
        <v>2645 King George Hwy</v>
      </c>
      <c r="G17" s="5" t="str">
        <f>'Reg.csv'!F17</f>
        <v>Surrey</v>
      </c>
      <c r="H17" s="5" t="str">
        <f>'Reg.csv'!G17</f>
        <v>BC</v>
      </c>
      <c r="I17" s="5" t="str">
        <f>'Reg.csv'!H17</f>
        <v>V3W 4E3</v>
      </c>
      <c r="J17" s="5" t="str">
        <f>'Reg.csv'!I17</f>
        <v>CA</v>
      </c>
    </row>
    <row r="18" spans="1:10" x14ac:dyDescent="0.3">
      <c r="A18" s="7">
        <v>17</v>
      </c>
      <c r="B18" s="5" t="s">
        <v>357</v>
      </c>
      <c r="C18" s="5" t="str">
        <f ca="1">'Reg.csv'!C18</f>
        <v>Lloyd Sandwich Shop</v>
      </c>
      <c r="D18" s="1" t="s">
        <v>1199</v>
      </c>
      <c r="E18" s="5" t="str">
        <f>'Reg.csv'!D18</f>
        <v>Angela Lloyd</v>
      </c>
      <c r="F18" s="5" t="str">
        <f>'Reg.csv'!E18</f>
        <v>3522 Glover Road</v>
      </c>
      <c r="G18" s="5" t="str">
        <f>'Reg.csv'!F18</f>
        <v>Surrey</v>
      </c>
      <c r="H18" s="5" t="str">
        <f>'Reg.csv'!G18</f>
        <v>BC</v>
      </c>
      <c r="I18" s="5" t="str">
        <f>'Reg.csv'!H18</f>
        <v>V3W 4N6</v>
      </c>
      <c r="J18" s="5" t="str">
        <f>'Reg.csv'!I18</f>
        <v>CA</v>
      </c>
    </row>
    <row r="19" spans="1:10" x14ac:dyDescent="0.3">
      <c r="A19" s="7">
        <v>18</v>
      </c>
      <c r="B19" s="5" t="s">
        <v>357</v>
      </c>
      <c r="C19" s="5" t="str">
        <f ca="1">'Reg.csv'!C19</f>
        <v>Gleason Ratskeller</v>
      </c>
      <c r="D19" s="1" t="s">
        <v>1199</v>
      </c>
      <c r="E19" s="5" t="str">
        <f>'Reg.csv'!D19</f>
        <v>Albert Gleason</v>
      </c>
      <c r="F19" s="5" t="str">
        <f>'Reg.csv'!E19</f>
        <v>4945 King George Hwy</v>
      </c>
      <c r="G19" s="5" t="str">
        <f>'Reg.csv'!F19</f>
        <v>Surrey</v>
      </c>
      <c r="H19" s="5" t="str">
        <f>'Reg.csv'!G19</f>
        <v>BC</v>
      </c>
      <c r="I19" s="5" t="str">
        <f>'Reg.csv'!H19</f>
        <v>V3W 4E3</v>
      </c>
      <c r="J19" s="5" t="str">
        <f>'Reg.csv'!I19</f>
        <v>CA</v>
      </c>
    </row>
    <row r="20" spans="1:10" x14ac:dyDescent="0.3">
      <c r="A20" s="7">
        <v>19</v>
      </c>
      <c r="B20" s="5" t="s">
        <v>357</v>
      </c>
      <c r="C20" s="5" t="str">
        <f ca="1">'Reg.csv'!C20</f>
        <v>Bumpers Grill</v>
      </c>
      <c r="D20" s="1" t="s">
        <v>1199</v>
      </c>
      <c r="E20" s="5" t="str">
        <f>'Reg.csv'!D20</f>
        <v>Kelly Bumpers</v>
      </c>
      <c r="F20" s="5" t="str">
        <f>'Reg.csv'!E20</f>
        <v>1588 King George Hwy</v>
      </c>
      <c r="G20" s="5" t="str">
        <f>'Reg.csv'!F20</f>
        <v>Surrey</v>
      </c>
      <c r="H20" s="5" t="str">
        <f>'Reg.csv'!G20</f>
        <v>BC</v>
      </c>
      <c r="I20" s="5" t="str">
        <f>'Reg.csv'!H20</f>
        <v>V3W 4E3</v>
      </c>
      <c r="J20" s="5" t="str">
        <f>'Reg.csv'!I20</f>
        <v>CA</v>
      </c>
    </row>
    <row r="21" spans="1:10" x14ac:dyDescent="0.3">
      <c r="A21" s="7">
        <v>20</v>
      </c>
      <c r="B21" s="5" t="s">
        <v>357</v>
      </c>
      <c r="C21" s="5" t="str">
        <f ca="1">'Reg.csv'!C21</f>
        <v>Rodriguez Restaurant</v>
      </c>
      <c r="D21" s="1" t="s">
        <v>1199</v>
      </c>
      <c r="E21" s="5" t="str">
        <f>'Reg.csv'!D21</f>
        <v>Dorothy Rodriguez</v>
      </c>
      <c r="F21" s="5" t="str">
        <f>'Reg.csv'!E21</f>
        <v>1172 Holdom Avenue</v>
      </c>
      <c r="G21" s="5" t="str">
        <f>'Reg.csv'!F21</f>
        <v>Surrey</v>
      </c>
      <c r="H21" s="5" t="str">
        <f>'Reg.csv'!G21</f>
        <v>BC</v>
      </c>
      <c r="I21" s="5" t="str">
        <f>'Reg.csv'!H21</f>
        <v>V3T 4Y5</v>
      </c>
      <c r="J21" s="5" t="str">
        <f>'Reg.csv'!I21</f>
        <v>CA</v>
      </c>
    </row>
    <row r="22" spans="1:10" x14ac:dyDescent="0.3">
      <c r="A22" s="7">
        <v>21</v>
      </c>
      <c r="B22" s="5" t="s">
        <v>357</v>
      </c>
      <c r="C22" s="5" t="str">
        <f ca="1">'Reg.csv'!C22</f>
        <v>Martin Booze and Food</v>
      </c>
      <c r="D22" s="1" t="s">
        <v>1199</v>
      </c>
      <c r="E22" s="5" t="str">
        <f>'Reg.csv'!D22</f>
        <v>Alice Martin</v>
      </c>
      <c r="F22" s="5" t="str">
        <f>'Reg.csv'!E22</f>
        <v>3490 King George Hwy</v>
      </c>
      <c r="G22" s="5" t="str">
        <f>'Reg.csv'!F22</f>
        <v>Surrey</v>
      </c>
      <c r="H22" s="5" t="str">
        <f>'Reg.csv'!G22</f>
        <v>BC</v>
      </c>
      <c r="I22" s="5" t="str">
        <f>'Reg.csv'!H22</f>
        <v>V3W 4E3</v>
      </c>
      <c r="J22" s="5" t="str">
        <f>'Reg.csv'!I22</f>
        <v>CA</v>
      </c>
    </row>
    <row r="23" spans="1:10" x14ac:dyDescent="0.3">
      <c r="A23" s="7">
        <v>22</v>
      </c>
      <c r="B23" s="5" t="s">
        <v>357</v>
      </c>
      <c r="C23" s="5" t="str">
        <f ca="1">'Reg.csv'!C23</f>
        <v>Wright Sandwich Shop</v>
      </c>
      <c r="D23" s="1" t="s">
        <v>1199</v>
      </c>
      <c r="E23" s="5" t="str">
        <f>'Reg.csv'!D23</f>
        <v>Casey Wright</v>
      </c>
      <c r="F23" s="5" t="str">
        <f>'Reg.csv'!E23</f>
        <v>2177 Holdom Avenue</v>
      </c>
      <c r="G23" s="5" t="str">
        <f>'Reg.csv'!F23</f>
        <v>Surrey</v>
      </c>
      <c r="H23" s="5" t="str">
        <f>'Reg.csv'!G23</f>
        <v>BC</v>
      </c>
      <c r="I23" s="5" t="str">
        <f>'Reg.csv'!H23</f>
        <v>V3T 4Y5</v>
      </c>
      <c r="J23" s="5" t="str">
        <f>'Reg.csv'!I23</f>
        <v>CA</v>
      </c>
    </row>
    <row r="24" spans="1:10" x14ac:dyDescent="0.3">
      <c r="A24" s="7">
        <v>23</v>
      </c>
      <c r="B24" s="5" t="s">
        <v>357</v>
      </c>
      <c r="C24" s="5" t="str">
        <f ca="1">'Reg.csv'!C24</f>
        <v>Shook Ratskeller</v>
      </c>
      <c r="D24" s="1" t="s">
        <v>1199</v>
      </c>
      <c r="E24" s="5" t="str">
        <f>'Reg.csv'!D24</f>
        <v>Daniel Shook</v>
      </c>
      <c r="F24" s="5" t="str">
        <f>'Reg.csv'!E24</f>
        <v>3484 Holdom Avenue</v>
      </c>
      <c r="G24" s="5" t="str">
        <f>'Reg.csv'!F24</f>
        <v>Surrey</v>
      </c>
      <c r="H24" s="5" t="str">
        <f>'Reg.csv'!G24</f>
        <v>BC</v>
      </c>
      <c r="I24" s="5" t="str">
        <f>'Reg.csv'!H24</f>
        <v>V3T 4Y5</v>
      </c>
      <c r="J24" s="5" t="str">
        <f>'Reg.csv'!I24</f>
        <v>CA</v>
      </c>
    </row>
    <row r="25" spans="1:10" x14ac:dyDescent="0.3">
      <c r="A25" s="7">
        <v>24</v>
      </c>
      <c r="B25" s="5" t="s">
        <v>357</v>
      </c>
      <c r="C25" s="5" t="str">
        <f ca="1">'Reg.csv'!C25</f>
        <v>Cleary Grill</v>
      </c>
      <c r="D25" s="1" t="s">
        <v>1199</v>
      </c>
      <c r="E25" s="5" t="str">
        <f>'Reg.csv'!D25</f>
        <v>Amanda Cleary</v>
      </c>
      <c r="F25" s="5" t="str">
        <f>'Reg.csv'!E25</f>
        <v>3626 Holdom Avenue</v>
      </c>
      <c r="G25" s="5" t="str">
        <f>'Reg.csv'!F25</f>
        <v>Surrey</v>
      </c>
      <c r="H25" s="5" t="str">
        <f>'Reg.csv'!G25</f>
        <v>BC</v>
      </c>
      <c r="I25" s="5" t="str">
        <f>'Reg.csv'!H25</f>
        <v>V3T 4Y5</v>
      </c>
      <c r="J25" s="5" t="str">
        <f>'Reg.csv'!I25</f>
        <v>CA</v>
      </c>
    </row>
    <row r="26" spans="1:10" x14ac:dyDescent="0.3">
      <c r="A26" s="7">
        <v>25</v>
      </c>
      <c r="B26" s="5" t="s">
        <v>357</v>
      </c>
      <c r="C26" s="5" t="str">
        <f ca="1">'Reg.csv'!C26</f>
        <v>Bankston Public House</v>
      </c>
      <c r="D26" s="1" t="s">
        <v>1199</v>
      </c>
      <c r="E26" s="5" t="str">
        <f>'Reg.csv'!D26</f>
        <v>Joshua Bankston</v>
      </c>
      <c r="F26" s="5" t="str">
        <f>'Reg.csv'!E26</f>
        <v>1489 Holdom Avenue</v>
      </c>
      <c r="G26" s="5" t="str">
        <f>'Reg.csv'!F26</f>
        <v>Surrey</v>
      </c>
      <c r="H26" s="5" t="str">
        <f>'Reg.csv'!G26</f>
        <v>BC</v>
      </c>
      <c r="I26" s="5" t="str">
        <f>'Reg.csv'!H26</f>
        <v>V3T 4Y5</v>
      </c>
      <c r="J26" s="5" t="str">
        <f>'Reg.csv'!I26</f>
        <v>CA</v>
      </c>
    </row>
    <row r="27" spans="1:10" x14ac:dyDescent="0.3">
      <c r="A27" s="7">
        <v>26</v>
      </c>
      <c r="B27" s="5" t="s">
        <v>357</v>
      </c>
      <c r="C27" s="5" t="str">
        <f ca="1">'Reg.csv'!C27</f>
        <v>Pinzon Shack</v>
      </c>
      <c r="D27" s="1" t="s">
        <v>1199</v>
      </c>
      <c r="E27" s="5" t="str">
        <f>'Reg.csv'!D27</f>
        <v>Joyce Pinzon</v>
      </c>
      <c r="F27" s="5" t="str">
        <f>'Reg.csv'!E27</f>
        <v>2977 King George Hwy</v>
      </c>
      <c r="G27" s="5" t="str">
        <f>'Reg.csv'!F27</f>
        <v>Surrey</v>
      </c>
      <c r="H27" s="5" t="str">
        <f>'Reg.csv'!G27</f>
        <v>BC</v>
      </c>
      <c r="I27" s="5" t="str">
        <f>'Reg.csv'!H27</f>
        <v>V3W 4E3</v>
      </c>
      <c r="J27" s="5" t="str">
        <f>'Reg.csv'!I27</f>
        <v>CA</v>
      </c>
    </row>
    <row r="28" spans="1:10" x14ac:dyDescent="0.3">
      <c r="A28" s="7">
        <v>27</v>
      </c>
      <c r="B28" s="5" t="s">
        <v>357</v>
      </c>
      <c r="C28" s="5" t="str">
        <f ca="1">'Reg.csv'!C28</f>
        <v>Elson Coffee</v>
      </c>
      <c r="D28" s="1" t="s">
        <v>1199</v>
      </c>
      <c r="E28" s="5" t="str">
        <f>'Reg.csv'!D28</f>
        <v>Michael Elson</v>
      </c>
      <c r="F28" s="5" t="str">
        <f>'Reg.csv'!E28</f>
        <v>4246 King George Hwy</v>
      </c>
      <c r="G28" s="5" t="str">
        <f>'Reg.csv'!F28</f>
        <v>Surrey</v>
      </c>
      <c r="H28" s="5" t="str">
        <f>'Reg.csv'!G28</f>
        <v>BC</v>
      </c>
      <c r="I28" s="5" t="str">
        <f>'Reg.csv'!H28</f>
        <v>V3W 4E3</v>
      </c>
      <c r="J28" s="5" t="str">
        <f>'Reg.csv'!I28</f>
        <v>CA</v>
      </c>
    </row>
    <row r="29" spans="1:10" x14ac:dyDescent="0.3">
      <c r="A29" s="7">
        <v>28</v>
      </c>
      <c r="B29" s="5" t="s">
        <v>357</v>
      </c>
      <c r="C29" s="5" t="str">
        <f ca="1">'Reg.csv'!C29</f>
        <v>Blunt Sandwich Shop</v>
      </c>
      <c r="D29" s="1" t="s">
        <v>1199</v>
      </c>
      <c r="E29" s="5" t="str">
        <f>'Reg.csv'!D29</f>
        <v>Patricia Blunt</v>
      </c>
      <c r="F29" s="5" t="str">
        <f>'Reg.csv'!E29</f>
        <v>3436 King George Hwy</v>
      </c>
      <c r="G29" s="5" t="str">
        <f>'Reg.csv'!F29</f>
        <v>Surrey</v>
      </c>
      <c r="H29" s="5" t="str">
        <f>'Reg.csv'!G29</f>
        <v>BC</v>
      </c>
      <c r="I29" s="5" t="str">
        <f>'Reg.csv'!H29</f>
        <v>V3W 4E3</v>
      </c>
      <c r="J29" s="5" t="str">
        <f>'Reg.csv'!I29</f>
        <v>CA</v>
      </c>
    </row>
    <row r="30" spans="1:10" x14ac:dyDescent="0.3">
      <c r="A30" s="7">
        <v>29</v>
      </c>
      <c r="B30" s="5" t="s">
        <v>357</v>
      </c>
      <c r="C30" s="5" t="str">
        <f ca="1">'Reg.csv'!C30</f>
        <v>Lopez Saloon</v>
      </c>
      <c r="D30" s="1" t="s">
        <v>1199</v>
      </c>
      <c r="E30" s="5" t="str">
        <f>'Reg.csv'!D30</f>
        <v>James Lopez</v>
      </c>
      <c r="F30" s="5" t="str">
        <f>'Reg.csv'!E30</f>
        <v>4146 King George Hwy</v>
      </c>
      <c r="G30" s="5" t="str">
        <f>'Reg.csv'!F30</f>
        <v>Surrey</v>
      </c>
      <c r="H30" s="5" t="str">
        <f>'Reg.csv'!G30</f>
        <v>BC</v>
      </c>
      <c r="I30" s="5" t="str">
        <f>'Reg.csv'!H30</f>
        <v>V3W 4E3</v>
      </c>
      <c r="J30" s="5" t="str">
        <f>'Reg.csv'!I30</f>
        <v>CA</v>
      </c>
    </row>
    <row r="31" spans="1:10" x14ac:dyDescent="0.3">
      <c r="A31" s="7">
        <v>30</v>
      </c>
      <c r="B31" s="5" t="s">
        <v>357</v>
      </c>
      <c r="C31" s="5" t="str">
        <f ca="1">'Reg.csv'!C31</f>
        <v>Griffin Palace</v>
      </c>
      <c r="D31" s="1" t="s">
        <v>1199</v>
      </c>
      <c r="E31" s="5" t="str">
        <f>'Reg.csv'!D31</f>
        <v>Paul Griffin</v>
      </c>
      <c r="F31" s="5" t="str">
        <f>'Reg.csv'!E31</f>
        <v>2928 King George Hwy</v>
      </c>
      <c r="G31" s="5" t="str">
        <f>'Reg.csv'!F31</f>
        <v>Surrey</v>
      </c>
      <c r="H31" s="5" t="str">
        <f>'Reg.csv'!G31</f>
        <v>BC</v>
      </c>
      <c r="I31" s="5" t="str">
        <f>'Reg.csv'!H31</f>
        <v>V3W 4E3</v>
      </c>
      <c r="J31" s="5" t="str">
        <f>'Reg.csv'!I31</f>
        <v>CA</v>
      </c>
    </row>
    <row r="32" spans="1:10" x14ac:dyDescent="0.3">
      <c r="A32" s="7">
        <v>31</v>
      </c>
      <c r="B32" s="5" t="s">
        <v>357</v>
      </c>
      <c r="C32" s="5" t="str">
        <f ca="1">'Reg.csv'!C32</f>
        <v>Bueno Brasserie</v>
      </c>
      <c r="D32" s="1" t="s">
        <v>1199</v>
      </c>
      <c r="E32" s="5" t="str">
        <f>'Reg.csv'!D32</f>
        <v>Ivan Bueno</v>
      </c>
      <c r="F32" s="5" t="str">
        <f>'Reg.csv'!E32</f>
        <v>4404 King George Hwy</v>
      </c>
      <c r="G32" s="5" t="str">
        <f>'Reg.csv'!F32</f>
        <v>Surrey</v>
      </c>
      <c r="H32" s="5" t="str">
        <f>'Reg.csv'!G32</f>
        <v>BC</v>
      </c>
      <c r="I32" s="5" t="str">
        <f>'Reg.csv'!H32</f>
        <v>V3W 4E3</v>
      </c>
      <c r="J32" s="5" t="str">
        <f>'Reg.csv'!I32</f>
        <v>CA</v>
      </c>
    </row>
    <row r="33" spans="1:10" x14ac:dyDescent="0.3">
      <c r="A33" s="7">
        <v>32</v>
      </c>
      <c r="B33" s="5" t="s">
        <v>357</v>
      </c>
      <c r="C33" s="5" t="str">
        <f ca="1">'Reg.csv'!C33</f>
        <v>Diaz Greasy Spoon</v>
      </c>
      <c r="D33" s="1" t="s">
        <v>1199</v>
      </c>
      <c r="E33" s="5" t="str">
        <f>'Reg.csv'!D33</f>
        <v>Paula Diaz</v>
      </c>
      <c r="F33" s="5" t="str">
        <f>'Reg.csv'!E33</f>
        <v>4652 Holdom Avenue</v>
      </c>
      <c r="G33" s="5" t="str">
        <f>'Reg.csv'!F33</f>
        <v>Surrey</v>
      </c>
      <c r="H33" s="5" t="str">
        <f>'Reg.csv'!G33</f>
        <v>BC</v>
      </c>
      <c r="I33" s="5" t="str">
        <f>'Reg.csv'!H33</f>
        <v>V3T 4Y5</v>
      </c>
      <c r="J33" s="5" t="str">
        <f>'Reg.csv'!I33</f>
        <v>CA</v>
      </c>
    </row>
    <row r="34" spans="1:10" x14ac:dyDescent="0.3">
      <c r="A34" s="7">
        <v>33</v>
      </c>
      <c r="B34" s="5" t="s">
        <v>357</v>
      </c>
      <c r="C34" s="5" t="str">
        <f ca="1">'Reg.csv'!C34</f>
        <v>Robertson Saloon</v>
      </c>
      <c r="D34" s="1" t="s">
        <v>1199</v>
      </c>
      <c r="E34" s="5" t="str">
        <f>'Reg.csv'!D34</f>
        <v>Morris Robertson</v>
      </c>
      <c r="F34" s="5" t="str">
        <f>'Reg.csv'!E34</f>
        <v>3818 Holdom Avenue</v>
      </c>
      <c r="G34" s="5" t="str">
        <f>'Reg.csv'!F34</f>
        <v>Surrey</v>
      </c>
      <c r="H34" s="5" t="str">
        <f>'Reg.csv'!G34</f>
        <v>BC</v>
      </c>
      <c r="I34" s="5" t="str">
        <f>'Reg.csv'!H34</f>
        <v>V3T 4Y5</v>
      </c>
      <c r="J34" s="5" t="str">
        <f>'Reg.csv'!I34</f>
        <v>CA</v>
      </c>
    </row>
    <row r="35" spans="1:10" x14ac:dyDescent="0.3">
      <c r="A35" s="7">
        <v>34</v>
      </c>
      <c r="B35" s="5" t="s">
        <v>357</v>
      </c>
      <c r="C35" s="5" t="str">
        <f ca="1">'Reg.csv'!C35</f>
        <v>Jarmon Carryout</v>
      </c>
      <c r="D35" s="1" t="s">
        <v>1199</v>
      </c>
      <c r="E35" s="5" t="str">
        <f>'Reg.csv'!D35</f>
        <v>Richard Jarmon</v>
      </c>
      <c r="F35" s="5" t="str">
        <f>'Reg.csv'!E35</f>
        <v>1317 Glover Road</v>
      </c>
      <c r="G35" s="5" t="str">
        <f>'Reg.csv'!F35</f>
        <v>Surrey</v>
      </c>
      <c r="H35" s="5" t="str">
        <f>'Reg.csv'!G35</f>
        <v>BC</v>
      </c>
      <c r="I35" s="5" t="str">
        <f>'Reg.csv'!H35</f>
        <v>V3W 4N6</v>
      </c>
      <c r="J35" s="5" t="str">
        <f>'Reg.csv'!I35</f>
        <v>CA</v>
      </c>
    </row>
    <row r="36" spans="1:10" x14ac:dyDescent="0.3">
      <c r="A36" s="7">
        <v>35</v>
      </c>
      <c r="B36" s="5" t="s">
        <v>357</v>
      </c>
      <c r="C36" s="5" t="str">
        <f ca="1">'Reg.csv'!C36</f>
        <v>Couch Foods</v>
      </c>
      <c r="D36" s="1" t="s">
        <v>1199</v>
      </c>
      <c r="E36" s="5" t="str">
        <f>'Reg.csv'!D36</f>
        <v>James Couch</v>
      </c>
      <c r="F36" s="5" t="str">
        <f>'Reg.csv'!E36</f>
        <v>3122 Glover Road</v>
      </c>
      <c r="G36" s="5" t="str">
        <f>'Reg.csv'!F36</f>
        <v>Surrey</v>
      </c>
      <c r="H36" s="5" t="str">
        <f>'Reg.csv'!G36</f>
        <v>BC</v>
      </c>
      <c r="I36" s="5" t="str">
        <f>'Reg.csv'!H36</f>
        <v>V3S 4C4</v>
      </c>
      <c r="J36" s="5" t="str">
        <f>'Reg.csv'!I36</f>
        <v>CA</v>
      </c>
    </row>
    <row r="37" spans="1:10" x14ac:dyDescent="0.3">
      <c r="A37" s="7">
        <v>36</v>
      </c>
      <c r="B37" s="5" t="s">
        <v>357</v>
      </c>
      <c r="C37" s="5" t="str">
        <f ca="1">'Reg.csv'!C37</f>
        <v>Jenkins Cafe</v>
      </c>
      <c r="D37" s="1" t="s">
        <v>1199</v>
      </c>
      <c r="E37" s="5" t="str">
        <f>'Reg.csv'!D37</f>
        <v>Mary Jenkins</v>
      </c>
      <c r="F37" s="5" t="str">
        <f>'Reg.csv'!E37</f>
        <v>4996 Glover Road</v>
      </c>
      <c r="G37" s="5" t="str">
        <f>'Reg.csv'!F37</f>
        <v>Surrey</v>
      </c>
      <c r="H37" s="5" t="str">
        <f>'Reg.csv'!G37</f>
        <v>BC</v>
      </c>
      <c r="I37" s="5" t="str">
        <f>'Reg.csv'!H37</f>
        <v>V3W 4N6</v>
      </c>
      <c r="J37" s="5" t="str">
        <f>'Reg.csv'!I37</f>
        <v>CA</v>
      </c>
    </row>
    <row r="38" spans="1:10" x14ac:dyDescent="0.3">
      <c r="A38" s="7">
        <v>37</v>
      </c>
      <c r="B38" s="5" t="s">
        <v>357</v>
      </c>
      <c r="C38" s="5" t="str">
        <f ca="1">'Reg.csv'!C38</f>
        <v>Wilcox Shack</v>
      </c>
      <c r="D38" s="1" t="s">
        <v>1199</v>
      </c>
      <c r="E38" s="5" t="str">
        <f>'Reg.csv'!D38</f>
        <v>David Wilcox</v>
      </c>
      <c r="F38" s="5" t="str">
        <f>'Reg.csv'!E38</f>
        <v>326 King George Hwy</v>
      </c>
      <c r="G38" s="5" t="str">
        <f>'Reg.csv'!F38</f>
        <v>Surrey</v>
      </c>
      <c r="H38" s="5" t="str">
        <f>'Reg.csv'!G38</f>
        <v>BC</v>
      </c>
      <c r="I38" s="5" t="str">
        <f>'Reg.csv'!H38</f>
        <v>V3W 4E3</v>
      </c>
      <c r="J38" s="5" t="str">
        <f>'Reg.csv'!I38</f>
        <v>CA</v>
      </c>
    </row>
    <row r="39" spans="1:10" x14ac:dyDescent="0.3">
      <c r="A39" s="7">
        <v>38</v>
      </c>
      <c r="B39" s="5" t="s">
        <v>357</v>
      </c>
      <c r="C39" s="5" t="str">
        <f ca="1">'Reg.csv'!C39</f>
        <v>Strachan Coffee House</v>
      </c>
      <c r="D39" s="1" t="s">
        <v>1199</v>
      </c>
      <c r="E39" s="5" t="str">
        <f>'Reg.csv'!D39</f>
        <v>Brenda Strachan</v>
      </c>
      <c r="F39" s="5" t="str">
        <f>'Reg.csv'!E39</f>
        <v>2230 Holdom Avenue</v>
      </c>
      <c r="G39" s="5" t="str">
        <f>'Reg.csv'!F39</f>
        <v>Surrey</v>
      </c>
      <c r="H39" s="5" t="str">
        <f>'Reg.csv'!G39</f>
        <v>BC</v>
      </c>
      <c r="I39" s="5" t="str">
        <f>'Reg.csv'!H39</f>
        <v>V3T 4Y5</v>
      </c>
      <c r="J39" s="5" t="str">
        <f>'Reg.csv'!I39</f>
        <v>CA</v>
      </c>
    </row>
    <row r="40" spans="1:10" x14ac:dyDescent="0.3">
      <c r="A40" s="7">
        <v>39</v>
      </c>
      <c r="B40" s="5" t="s">
        <v>357</v>
      </c>
      <c r="C40" s="5" t="str">
        <f ca="1">'Reg.csv'!C40</f>
        <v>Voris Name</v>
      </c>
      <c r="D40" s="1" t="s">
        <v>1199</v>
      </c>
      <c r="E40" s="5" t="str">
        <f>'Reg.csv'!D40</f>
        <v>Craig Voris</v>
      </c>
      <c r="F40" s="5" t="str">
        <f>'Reg.csv'!E40</f>
        <v>2451 King George Hwy</v>
      </c>
      <c r="G40" s="5" t="str">
        <f>'Reg.csv'!F40</f>
        <v>Surrey</v>
      </c>
      <c r="H40" s="5" t="str">
        <f>'Reg.csv'!G40</f>
        <v>BC</v>
      </c>
      <c r="I40" s="5" t="str">
        <f>'Reg.csv'!H40</f>
        <v>V3W 4E3</v>
      </c>
      <c r="J40" s="5" t="str">
        <f>'Reg.csv'!I40</f>
        <v>CA</v>
      </c>
    </row>
    <row r="41" spans="1:10" x14ac:dyDescent="0.3">
      <c r="A41" s="7">
        <v>40</v>
      </c>
      <c r="B41" s="5" t="s">
        <v>357</v>
      </c>
      <c r="C41" s="5" t="str">
        <f ca="1">'Reg.csv'!C41</f>
        <v>Worrell Seafood</v>
      </c>
      <c r="D41" s="1" t="s">
        <v>1199</v>
      </c>
      <c r="E41" s="5" t="str">
        <f>'Reg.csv'!D41</f>
        <v>Frances Worrell</v>
      </c>
      <c r="F41" s="5" t="str">
        <f>'Reg.csv'!E41</f>
        <v>3644 Holdom Avenue</v>
      </c>
      <c r="G41" s="5" t="str">
        <f>'Reg.csv'!F41</f>
        <v>Surrey</v>
      </c>
      <c r="H41" s="5" t="str">
        <f>'Reg.csv'!G41</f>
        <v>BC</v>
      </c>
      <c r="I41" s="5" t="str">
        <f>'Reg.csv'!H41</f>
        <v>V3T 4Y5</v>
      </c>
      <c r="J41" s="5" t="str">
        <f>'Reg.csv'!I41</f>
        <v>CA</v>
      </c>
    </row>
    <row r="42" spans="1:10" x14ac:dyDescent="0.3">
      <c r="A42" s="7">
        <v>41</v>
      </c>
      <c r="B42" s="5" t="s">
        <v>357</v>
      </c>
      <c r="C42" s="5" t="str">
        <f ca="1">'Reg.csv'!C42</f>
        <v>Wells Charcuterie</v>
      </c>
      <c r="D42" s="1" t="s">
        <v>1199</v>
      </c>
      <c r="E42" s="5" t="str">
        <f>'Reg.csv'!D42</f>
        <v>Melissa Wells</v>
      </c>
      <c r="F42" s="5" t="str">
        <f>'Reg.csv'!E42</f>
        <v>20 Glover Road</v>
      </c>
      <c r="G42" s="5" t="str">
        <f>'Reg.csv'!F42</f>
        <v>Surrey</v>
      </c>
      <c r="H42" s="5" t="str">
        <f>'Reg.csv'!G42</f>
        <v>BC</v>
      </c>
      <c r="I42" s="5" t="str">
        <f>'Reg.csv'!H42</f>
        <v>V3T 2B3</v>
      </c>
      <c r="J42" s="5" t="str">
        <f>'Reg.csv'!I42</f>
        <v>CA</v>
      </c>
    </row>
    <row r="43" spans="1:10" x14ac:dyDescent="0.3">
      <c r="A43" s="7">
        <v>42</v>
      </c>
      <c r="B43" s="5" t="s">
        <v>357</v>
      </c>
      <c r="C43" s="5" t="str">
        <f ca="1">'Reg.csv'!C43</f>
        <v>Ownby Stand</v>
      </c>
      <c r="D43" s="1" t="s">
        <v>1199</v>
      </c>
      <c r="E43" s="5" t="str">
        <f>'Reg.csv'!D43</f>
        <v>Alice Ownby</v>
      </c>
      <c r="F43" s="5" t="str">
        <f>'Reg.csv'!E43</f>
        <v>2394 King George Hwy</v>
      </c>
      <c r="G43" s="5" t="str">
        <f>'Reg.csv'!F43</f>
        <v>Surrey</v>
      </c>
      <c r="H43" s="5" t="str">
        <f>'Reg.csv'!G43</f>
        <v>BC</v>
      </c>
      <c r="I43" s="5" t="str">
        <f>'Reg.csv'!H43</f>
        <v>V3W 4E3</v>
      </c>
      <c r="J43" s="5" t="str">
        <f>'Reg.csv'!I43</f>
        <v>CA</v>
      </c>
    </row>
    <row r="44" spans="1:10" x14ac:dyDescent="0.3">
      <c r="A44" s="7">
        <v>43</v>
      </c>
      <c r="B44" s="5" t="s">
        <v>357</v>
      </c>
      <c r="C44" s="5" t="str">
        <f ca="1">'Reg.csv'!C44</f>
        <v>Smith Sandwich Shop</v>
      </c>
      <c r="D44" s="1" t="s">
        <v>1199</v>
      </c>
      <c r="E44" s="5" t="str">
        <f>'Reg.csv'!D44</f>
        <v>Joseph Smith</v>
      </c>
      <c r="F44" s="5" t="str">
        <f>'Reg.csv'!E44</f>
        <v>2090 Holdom Avenue</v>
      </c>
      <c r="G44" s="5" t="str">
        <f>'Reg.csv'!F44</f>
        <v>Surrey</v>
      </c>
      <c r="H44" s="5" t="str">
        <f>'Reg.csv'!G44</f>
        <v>BC</v>
      </c>
      <c r="I44" s="5" t="str">
        <f>'Reg.csv'!H44</f>
        <v>V3T 4Y5</v>
      </c>
      <c r="J44" s="5" t="str">
        <f>'Reg.csv'!I44</f>
        <v>CA</v>
      </c>
    </row>
    <row r="45" spans="1:10" x14ac:dyDescent="0.3">
      <c r="A45" s="7">
        <v>44</v>
      </c>
      <c r="B45" s="5" t="s">
        <v>357</v>
      </c>
      <c r="C45" s="5" t="str">
        <f ca="1">'Reg.csv'!C45</f>
        <v>Kelly Cafe</v>
      </c>
      <c r="D45" s="1" t="s">
        <v>1199</v>
      </c>
      <c r="E45" s="5" t="str">
        <f>'Reg.csv'!D45</f>
        <v>Eric Kelly</v>
      </c>
      <c r="F45" s="5" t="str">
        <f>'Reg.csv'!E45</f>
        <v>2543 Holdom Avenue</v>
      </c>
      <c r="G45" s="5" t="str">
        <f>'Reg.csv'!F45</f>
        <v>Surrey</v>
      </c>
      <c r="H45" s="5" t="str">
        <f>'Reg.csv'!G45</f>
        <v>BC</v>
      </c>
      <c r="I45" s="5" t="str">
        <f>'Reg.csv'!H45</f>
        <v>V3T 4Y5</v>
      </c>
      <c r="J45" s="5" t="str">
        <f>'Reg.csv'!I45</f>
        <v>CA</v>
      </c>
    </row>
    <row r="46" spans="1:10" x14ac:dyDescent="0.3">
      <c r="A46" s="7">
        <v>45</v>
      </c>
      <c r="B46" s="5" t="s">
        <v>357</v>
      </c>
      <c r="C46" s="5" t="str">
        <f ca="1">'Reg.csv'!C46</f>
        <v>Iverson Luncheon</v>
      </c>
      <c r="D46" s="1" t="s">
        <v>1199</v>
      </c>
      <c r="E46" s="5" t="str">
        <f>'Reg.csv'!D46</f>
        <v>Evelyn Iverson</v>
      </c>
      <c r="F46" s="5" t="str">
        <f>'Reg.csv'!E46</f>
        <v>3498 Holdom Avenue</v>
      </c>
      <c r="G46" s="5" t="str">
        <f>'Reg.csv'!F46</f>
        <v>Surrey</v>
      </c>
      <c r="H46" s="5" t="str">
        <f>'Reg.csv'!G46</f>
        <v>BC</v>
      </c>
      <c r="I46" s="5" t="str">
        <f>'Reg.csv'!H46</f>
        <v>V3T 4Y5</v>
      </c>
      <c r="J46" s="5" t="str">
        <f>'Reg.csv'!I46</f>
        <v>CA</v>
      </c>
    </row>
    <row r="47" spans="1:10" x14ac:dyDescent="0.3">
      <c r="A47" s="7">
        <v>46</v>
      </c>
      <c r="B47" s="5" t="s">
        <v>357</v>
      </c>
      <c r="C47" s="5" t="str">
        <f ca="1">'Reg.csv'!C47</f>
        <v>Mendez Diner</v>
      </c>
      <c r="D47" s="1" t="s">
        <v>1199</v>
      </c>
      <c r="E47" s="5" t="str">
        <f>'Reg.csv'!D47</f>
        <v>Gina Mendez</v>
      </c>
      <c r="F47" s="5" t="str">
        <f>'Reg.csv'!E47</f>
        <v>1091 King George Hwy</v>
      </c>
      <c r="G47" s="5" t="str">
        <f>'Reg.csv'!F47</f>
        <v>Surrey</v>
      </c>
      <c r="H47" s="5" t="str">
        <f>'Reg.csv'!G47</f>
        <v>BC</v>
      </c>
      <c r="I47" s="5" t="str">
        <f>'Reg.csv'!H47</f>
        <v>V3W 4E3</v>
      </c>
      <c r="J47" s="5" t="str">
        <f>'Reg.csv'!I47</f>
        <v>CA</v>
      </c>
    </row>
    <row r="48" spans="1:10" x14ac:dyDescent="0.3">
      <c r="A48" s="7">
        <v>47</v>
      </c>
      <c r="B48" s="5" t="s">
        <v>357</v>
      </c>
      <c r="C48" s="5" t="str">
        <f ca="1">'Reg.csv'!C48</f>
        <v>Love Bar</v>
      </c>
      <c r="D48" s="1" t="s">
        <v>1199</v>
      </c>
      <c r="E48" s="5" t="str">
        <f>'Reg.csv'!D48</f>
        <v>Elisa Love</v>
      </c>
      <c r="F48" s="5" t="str">
        <f>'Reg.csv'!E48</f>
        <v>4974 Holdom Avenue</v>
      </c>
      <c r="G48" s="5" t="str">
        <f>'Reg.csv'!F48</f>
        <v>Surrey</v>
      </c>
      <c r="H48" s="5" t="str">
        <f>'Reg.csv'!G48</f>
        <v>BC</v>
      </c>
      <c r="I48" s="5" t="str">
        <f>'Reg.csv'!H48</f>
        <v>V3T 4Y5</v>
      </c>
      <c r="J48" s="5" t="str">
        <f>'Reg.csv'!I48</f>
        <v>CA</v>
      </c>
    </row>
    <row r="49" spans="1:10" x14ac:dyDescent="0.3">
      <c r="A49" s="7">
        <v>48</v>
      </c>
      <c r="B49" s="5" t="s">
        <v>357</v>
      </c>
      <c r="C49" s="5" t="str">
        <f ca="1">'Reg.csv'!C49</f>
        <v>Leblanc Grill</v>
      </c>
      <c r="D49" s="1" t="s">
        <v>1199</v>
      </c>
      <c r="E49" s="5" t="str">
        <f>'Reg.csv'!D49</f>
        <v>Avis Leblanc</v>
      </c>
      <c r="F49" s="5" t="str">
        <f>'Reg.csv'!E49</f>
        <v>812 Glover Road</v>
      </c>
      <c r="G49" s="5" t="str">
        <f>'Reg.csv'!F49</f>
        <v>Surrey</v>
      </c>
      <c r="H49" s="5" t="str">
        <f>'Reg.csv'!G49</f>
        <v>BC</v>
      </c>
      <c r="I49" s="5" t="str">
        <f>'Reg.csv'!H49</f>
        <v>V3S 4C4</v>
      </c>
      <c r="J49" s="5" t="str">
        <f>'Reg.csv'!I49</f>
        <v>CA</v>
      </c>
    </row>
    <row r="50" spans="1:10" x14ac:dyDescent="0.3">
      <c r="A50" s="7">
        <v>49</v>
      </c>
      <c r="B50" s="5" t="s">
        <v>357</v>
      </c>
      <c r="C50" s="5" t="str">
        <f ca="1">'Reg.csv'!C50</f>
        <v>Brantley Chophouse</v>
      </c>
      <c r="D50" s="1" t="s">
        <v>1199</v>
      </c>
      <c r="E50" s="5" t="str">
        <f>'Reg.csv'!D50</f>
        <v>Jack Brantley</v>
      </c>
      <c r="F50" s="5" t="str">
        <f>'Reg.csv'!E50</f>
        <v>3817 King George Hwy</v>
      </c>
      <c r="G50" s="5" t="str">
        <f>'Reg.csv'!F50</f>
        <v>Surrey</v>
      </c>
      <c r="H50" s="5" t="str">
        <f>'Reg.csv'!G50</f>
        <v>BC</v>
      </c>
      <c r="I50" s="5" t="str">
        <f>'Reg.csv'!H50</f>
        <v>V3W 4E3</v>
      </c>
      <c r="J50" s="5" t="str">
        <f>'Reg.csv'!I50</f>
        <v>CA</v>
      </c>
    </row>
    <row r="51" spans="1:10" x14ac:dyDescent="0.3">
      <c r="A51" s="7">
        <v>50</v>
      </c>
      <c r="B51" s="5" t="s">
        <v>357</v>
      </c>
      <c r="C51" s="5" t="str">
        <f ca="1">'Reg.csv'!C51</f>
        <v>Franco Charcuterie</v>
      </c>
      <c r="D51" s="1" t="s">
        <v>1199</v>
      </c>
      <c r="E51" s="5" t="str">
        <f>'Reg.csv'!D51</f>
        <v>Randolph Franco</v>
      </c>
      <c r="F51" s="5" t="str">
        <f>'Reg.csv'!E51</f>
        <v>2873 Glover Road</v>
      </c>
      <c r="G51" s="5" t="str">
        <f>'Reg.csv'!F51</f>
        <v>Surrey</v>
      </c>
      <c r="H51" s="5" t="str">
        <f>'Reg.csv'!G51</f>
        <v>BC</v>
      </c>
      <c r="I51" s="5" t="str">
        <f>'Reg.csv'!H51</f>
        <v>V3S 4C4</v>
      </c>
      <c r="J51" s="5" t="str">
        <f>'Reg.csv'!I51</f>
        <v>CA</v>
      </c>
    </row>
    <row r="52" spans="1:10" x14ac:dyDescent="0.3">
      <c r="A52" s="7">
        <v>51</v>
      </c>
      <c r="B52" s="5" t="s">
        <v>357</v>
      </c>
      <c r="C52" s="5" t="str">
        <f ca="1">'Reg.csv'!C52</f>
        <v>Bowman Canteen</v>
      </c>
      <c r="D52" s="1" t="s">
        <v>1199</v>
      </c>
      <c r="E52" s="5" t="str">
        <f>'Reg.csv'!D52</f>
        <v>Jacques Bowman</v>
      </c>
      <c r="F52" s="5" t="str">
        <f>'Reg.csv'!E52</f>
        <v>3731 Holdom Avenue</v>
      </c>
      <c r="G52" s="5" t="str">
        <f>'Reg.csv'!F52</f>
        <v>Surrey</v>
      </c>
      <c r="H52" s="5" t="str">
        <f>'Reg.csv'!G52</f>
        <v>BC</v>
      </c>
      <c r="I52" s="5" t="str">
        <f>'Reg.csv'!H52</f>
        <v>V3T 4Y5</v>
      </c>
      <c r="J52" s="5" t="str">
        <f>'Reg.csv'!I52</f>
        <v>CA</v>
      </c>
    </row>
    <row r="53" spans="1:10" x14ac:dyDescent="0.3">
      <c r="A53" s="7">
        <v>52</v>
      </c>
      <c r="B53" s="5" t="s">
        <v>357</v>
      </c>
      <c r="C53" s="5" t="str">
        <f ca="1">'Reg.csv'!C53</f>
        <v>Solano Foods</v>
      </c>
      <c r="D53" s="1" t="s">
        <v>1199</v>
      </c>
      <c r="E53" s="5" t="str">
        <f>'Reg.csv'!D53</f>
        <v>Richard Solano</v>
      </c>
      <c r="F53" s="5" t="str">
        <f>'Reg.csv'!E53</f>
        <v>2039 Holdom Avenue</v>
      </c>
      <c r="G53" s="5" t="str">
        <f>'Reg.csv'!F53</f>
        <v>Surrey</v>
      </c>
      <c r="H53" s="5" t="str">
        <f>'Reg.csv'!G53</f>
        <v>BC</v>
      </c>
      <c r="I53" s="5" t="str">
        <f>'Reg.csv'!H53</f>
        <v>V3T 4Y5</v>
      </c>
      <c r="J53" s="5" t="str">
        <f>'Reg.csv'!I53</f>
        <v>CA</v>
      </c>
    </row>
    <row r="54" spans="1:10" x14ac:dyDescent="0.3">
      <c r="A54" s="7">
        <v>53</v>
      </c>
      <c r="B54" s="5" t="s">
        <v>357</v>
      </c>
      <c r="C54" s="5" t="str">
        <f ca="1">'Reg.csv'!C54</f>
        <v>Manners Dining Room</v>
      </c>
      <c r="D54" s="1" t="s">
        <v>1199</v>
      </c>
      <c r="E54" s="5" t="str">
        <f>'Reg.csv'!D54</f>
        <v>James Manners</v>
      </c>
      <c r="F54" s="5" t="str">
        <f>'Reg.csv'!E54</f>
        <v>3700 Holdom Avenue</v>
      </c>
      <c r="G54" s="5" t="str">
        <f>'Reg.csv'!F54</f>
        <v>Surrey</v>
      </c>
      <c r="H54" s="5" t="str">
        <f>'Reg.csv'!G54</f>
        <v>BC</v>
      </c>
      <c r="I54" s="5" t="str">
        <f>'Reg.csv'!H54</f>
        <v>V3T 4Y5</v>
      </c>
      <c r="J54" s="5" t="str">
        <f>'Reg.csv'!I54</f>
        <v>CA</v>
      </c>
    </row>
    <row r="55" spans="1:10" x14ac:dyDescent="0.3">
      <c r="A55" s="7">
        <v>54</v>
      </c>
      <c r="B55" s="5" t="s">
        <v>357</v>
      </c>
      <c r="C55" s="5" t="str">
        <f ca="1">'Reg.csv'!C55</f>
        <v>Bertram Carryout</v>
      </c>
      <c r="D55" s="1" t="s">
        <v>1199</v>
      </c>
      <c r="E55" s="5" t="str">
        <f>'Reg.csv'!D55</f>
        <v>Brian Bertram</v>
      </c>
      <c r="F55" s="5" t="str">
        <f>'Reg.csv'!E55</f>
        <v>884 King George Hwy</v>
      </c>
      <c r="G55" s="5" t="str">
        <f>'Reg.csv'!F55</f>
        <v>Surrey</v>
      </c>
      <c r="H55" s="5" t="str">
        <f>'Reg.csv'!G55</f>
        <v>BC</v>
      </c>
      <c r="I55" s="5" t="str">
        <f>'Reg.csv'!H55</f>
        <v>V3W 4E3</v>
      </c>
      <c r="J55" s="5" t="str">
        <f>'Reg.csv'!I55</f>
        <v>CA</v>
      </c>
    </row>
    <row r="56" spans="1:10" x14ac:dyDescent="0.3">
      <c r="A56" s="7">
        <v>55</v>
      </c>
      <c r="B56" s="5" t="s">
        <v>357</v>
      </c>
      <c r="C56" s="5" t="str">
        <f ca="1">'Reg.csv'!C56</f>
        <v>Kenner Stand</v>
      </c>
      <c r="D56" s="1" t="s">
        <v>1199</v>
      </c>
      <c r="E56" s="5" t="str">
        <f>'Reg.csv'!D56</f>
        <v>Darryl Kenner</v>
      </c>
      <c r="F56" s="5" t="str">
        <f>'Reg.csv'!E56</f>
        <v>4399 Glover Road</v>
      </c>
      <c r="G56" s="5" t="str">
        <f>'Reg.csv'!F56</f>
        <v>Surrey</v>
      </c>
      <c r="H56" s="5" t="str">
        <f>'Reg.csv'!G56</f>
        <v>BC</v>
      </c>
      <c r="I56" s="5" t="str">
        <f>'Reg.csv'!H56</f>
        <v>V3S 4C4</v>
      </c>
      <c r="J56" s="5" t="str">
        <f>'Reg.csv'!I56</f>
        <v>CA</v>
      </c>
    </row>
    <row r="57" spans="1:10" x14ac:dyDescent="0.3">
      <c r="A57" s="7">
        <v>56</v>
      </c>
      <c r="B57" s="5" t="s">
        <v>357</v>
      </c>
      <c r="C57" s="5" t="str">
        <f ca="1">'Reg.csv'!C57</f>
        <v>Durbin Seafood</v>
      </c>
      <c r="D57" s="1" t="s">
        <v>1199</v>
      </c>
      <c r="E57" s="5" t="str">
        <f>'Reg.csv'!D57</f>
        <v>Joseph Durbin</v>
      </c>
      <c r="F57" s="5" t="str">
        <f>'Reg.csv'!E57</f>
        <v>4447 Holdom Avenue</v>
      </c>
      <c r="G57" s="5" t="str">
        <f>'Reg.csv'!F57</f>
        <v>Surrey</v>
      </c>
      <c r="H57" s="5" t="str">
        <f>'Reg.csv'!G57</f>
        <v>BC</v>
      </c>
      <c r="I57" s="5" t="str">
        <f>'Reg.csv'!H57</f>
        <v>V3T 4Y5</v>
      </c>
      <c r="J57" s="5" t="str">
        <f>'Reg.csv'!I57</f>
        <v>CA</v>
      </c>
    </row>
    <row r="58" spans="1:10" x14ac:dyDescent="0.3">
      <c r="A58" s="7">
        <v>57</v>
      </c>
      <c r="B58" s="5" t="s">
        <v>357</v>
      </c>
      <c r="C58" s="5" t="str">
        <f ca="1">'Reg.csv'!C58</f>
        <v>Newton Chophouse</v>
      </c>
      <c r="D58" s="1" t="s">
        <v>1199</v>
      </c>
      <c r="E58" s="5" t="str">
        <f>'Reg.csv'!D58</f>
        <v>Aimee Newton</v>
      </c>
      <c r="F58" s="5" t="str">
        <f>'Reg.csv'!E58</f>
        <v>854 King George Hwy</v>
      </c>
      <c r="G58" s="5" t="str">
        <f>'Reg.csv'!F58</f>
        <v>Surrey</v>
      </c>
      <c r="H58" s="5" t="str">
        <f>'Reg.csv'!G58</f>
        <v>BC</v>
      </c>
      <c r="I58" s="5" t="str">
        <f>'Reg.csv'!H58</f>
        <v>V3W 4E3</v>
      </c>
      <c r="J58" s="5" t="str">
        <f>'Reg.csv'!I58</f>
        <v>CA</v>
      </c>
    </row>
    <row r="59" spans="1:10" x14ac:dyDescent="0.3">
      <c r="A59" s="7">
        <v>58</v>
      </c>
      <c r="B59" s="5" t="s">
        <v>357</v>
      </c>
      <c r="C59" s="5" t="str">
        <f ca="1">'Reg.csv'!C59</f>
        <v>Sample Public House</v>
      </c>
      <c r="D59" s="1" t="s">
        <v>1199</v>
      </c>
      <c r="E59" s="5" t="str">
        <f>'Reg.csv'!D59</f>
        <v>Amanda Sample</v>
      </c>
      <c r="F59" s="5" t="str">
        <f>'Reg.csv'!E59</f>
        <v>3033 King George Hwy</v>
      </c>
      <c r="G59" s="5" t="str">
        <f>'Reg.csv'!F59</f>
        <v>Surrey</v>
      </c>
      <c r="H59" s="5" t="str">
        <f>'Reg.csv'!G59</f>
        <v>BC</v>
      </c>
      <c r="I59" s="5" t="str">
        <f>'Reg.csv'!H59</f>
        <v>V3W 4E3</v>
      </c>
      <c r="J59" s="5" t="str">
        <f>'Reg.csv'!I59</f>
        <v>CA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6"/>
  <sheetViews>
    <sheetView workbookViewId="0">
      <pane ySplit="1" topLeftCell="A2" activePane="bottomLeft" state="frozen"/>
      <selection pane="bottomLeft" activeCell="G3" sqref="G3"/>
    </sheetView>
  </sheetViews>
  <sheetFormatPr defaultRowHeight="14.4" x14ac:dyDescent="0.3"/>
  <cols>
    <col min="1" max="1" width="3.6640625" bestFit="1" customWidth="1"/>
    <col min="2" max="2" width="2.5546875" bestFit="1" customWidth="1"/>
    <col min="3" max="3" width="18.33203125" bestFit="1" customWidth="1"/>
    <col min="4" max="4" width="10.33203125" bestFit="1" customWidth="1"/>
    <col min="5" max="5" width="19.44140625" bestFit="1" customWidth="1"/>
    <col min="6" max="6" width="12.33203125" bestFit="1" customWidth="1"/>
    <col min="7" max="7" width="40.88671875" bestFit="1" customWidth="1"/>
    <col min="8" max="8" width="12.33203125" bestFit="1" customWidth="1"/>
    <col min="9" max="9" width="8.109375" bestFit="1" customWidth="1"/>
    <col min="10" max="10" width="3.33203125" bestFit="1" customWidth="1"/>
  </cols>
  <sheetData>
    <row r="1" spans="1:10" s="2" customFormat="1" x14ac:dyDescent="0.3">
      <c r="A1" s="2" t="s">
        <v>3</v>
      </c>
      <c r="B1" s="2" t="s">
        <v>283</v>
      </c>
      <c r="C1" s="2" t="s">
        <v>346</v>
      </c>
      <c r="D1" s="2" t="s">
        <v>300</v>
      </c>
      <c r="E1" s="2" t="s">
        <v>312</v>
      </c>
      <c r="F1" s="2" t="s">
        <v>347</v>
      </c>
      <c r="G1" s="2" t="s">
        <v>301</v>
      </c>
      <c r="H1" s="2" t="s">
        <v>272</v>
      </c>
      <c r="I1" s="2" t="s">
        <v>297</v>
      </c>
      <c r="J1" s="2" t="s">
        <v>298</v>
      </c>
    </row>
    <row r="2" spans="1:10" x14ac:dyDescent="0.3">
      <c r="A2" t="s">
        <v>311</v>
      </c>
      <c r="B2">
        <f>IF(ISNUMBER(B1),B1+1,1)</f>
        <v>1</v>
      </c>
      <c r="C2" t="s">
        <v>348</v>
      </c>
      <c r="D2" t="s">
        <v>5</v>
      </c>
      <c r="E2" t="s">
        <v>310</v>
      </c>
      <c r="F2">
        <f>VLOOKUP(E2,IssuerService!C:K,9,FALSE)</f>
        <v>1</v>
      </c>
      <c r="G2" s="3" t="s">
        <v>349</v>
      </c>
      <c r="H2" t="str">
        <f>"'"&amp;TEXT("10-Oct-2010","YYYY-MM-DD")</f>
        <v>'2010-10-10</v>
      </c>
      <c r="I2" t="s">
        <v>5</v>
      </c>
      <c r="J2">
        <f>B2</f>
        <v>1</v>
      </c>
    </row>
    <row r="3" spans="1:10" x14ac:dyDescent="0.3">
      <c r="A3" t="s">
        <v>311</v>
      </c>
      <c r="B3">
        <f t="shared" ref="B3:B6" si="0">IF(ISNUMBER(B2),B2+1,1)</f>
        <v>2</v>
      </c>
      <c r="C3" t="s">
        <v>316</v>
      </c>
      <c r="D3" t="s">
        <v>5</v>
      </c>
      <c r="E3" t="s">
        <v>316</v>
      </c>
      <c r="F3">
        <f>VLOOKUP(E3,IssuerService!C:K,9,FALSE)</f>
        <v>2</v>
      </c>
      <c r="G3" s="3" t="s">
        <v>333</v>
      </c>
      <c r="H3" t="str">
        <f t="shared" ref="H3:H6" si="1">"'"&amp;TEXT("10-Oct-2010","YYYY-MM-DD")</f>
        <v>'2010-10-10</v>
      </c>
      <c r="I3" t="s">
        <v>5</v>
      </c>
      <c r="J3">
        <f t="shared" ref="J3:J6" si="2">B3</f>
        <v>2</v>
      </c>
    </row>
    <row r="4" spans="1:10" x14ac:dyDescent="0.3">
      <c r="A4" t="s">
        <v>311</v>
      </c>
      <c r="B4">
        <f t="shared" si="0"/>
        <v>3</v>
      </c>
      <c r="C4" t="s">
        <v>323</v>
      </c>
      <c r="D4" t="s">
        <v>5</v>
      </c>
      <c r="E4" t="s">
        <v>319</v>
      </c>
      <c r="F4">
        <f>VLOOKUP(E4,IssuerService!C:K,9,FALSE)</f>
        <v>3</v>
      </c>
      <c r="G4" s="3" t="s">
        <v>334</v>
      </c>
      <c r="H4" t="str">
        <f t="shared" si="1"/>
        <v>'2010-10-10</v>
      </c>
      <c r="I4" t="s">
        <v>5</v>
      </c>
      <c r="J4">
        <f t="shared" si="2"/>
        <v>3</v>
      </c>
    </row>
    <row r="5" spans="1:10" x14ac:dyDescent="0.3">
      <c r="A5" t="s">
        <v>311</v>
      </c>
      <c r="B5">
        <f t="shared" si="0"/>
        <v>4</v>
      </c>
      <c r="C5" t="s">
        <v>324</v>
      </c>
      <c r="D5" t="s">
        <v>5</v>
      </c>
      <c r="E5" t="s">
        <v>319</v>
      </c>
      <c r="F5">
        <f>VLOOKUP(E5,IssuerService!C:K,9,FALSE)</f>
        <v>3</v>
      </c>
      <c r="G5" s="3" t="s">
        <v>335</v>
      </c>
      <c r="H5" t="str">
        <f t="shared" si="1"/>
        <v>'2010-10-10</v>
      </c>
      <c r="I5" t="s">
        <v>5</v>
      </c>
      <c r="J5">
        <f t="shared" si="2"/>
        <v>4</v>
      </c>
    </row>
    <row r="6" spans="1:10" x14ac:dyDescent="0.3">
      <c r="A6" t="s">
        <v>311</v>
      </c>
      <c r="B6">
        <f t="shared" si="0"/>
        <v>5</v>
      </c>
      <c r="C6" t="s">
        <v>325</v>
      </c>
      <c r="D6" t="s">
        <v>5</v>
      </c>
      <c r="E6" t="s">
        <v>322</v>
      </c>
      <c r="F6">
        <f>VLOOKUP(E6,IssuerService!C:K,9,FALSE)</f>
        <v>4</v>
      </c>
      <c r="G6" s="3" t="s">
        <v>336</v>
      </c>
      <c r="H6" t="str">
        <f t="shared" si="1"/>
        <v>'2010-10-10</v>
      </c>
      <c r="I6" t="s">
        <v>5</v>
      </c>
      <c r="J6">
        <f t="shared" si="2"/>
        <v>5</v>
      </c>
    </row>
  </sheetData>
  <hyperlinks>
    <hyperlink ref="G2" r:id="rId1" xr:uid="{00000000-0004-0000-0700-000000000000}"/>
    <hyperlink ref="G3" r:id="rId2" xr:uid="{00000000-0004-0000-0700-000001000000}"/>
    <hyperlink ref="G4" r:id="rId3" xr:uid="{00000000-0004-0000-0700-000002000000}"/>
    <hyperlink ref="G5" r:id="rId4" xr:uid="{00000000-0004-0000-0700-000003000000}"/>
    <hyperlink ref="G6" r:id="rId5" xr:uid="{00000000-0004-0000-0700-000004000000}"/>
  </hyperlinks>
  <pageMargins left="0.7" right="0.7" top="0.75" bottom="0.75" header="0.3" footer="0.3"/>
  <pageSetup orientation="portrait" r:id="rId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3"/>
  <sheetViews>
    <sheetView topLeftCell="P1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5.44140625" bestFit="1" customWidth="1"/>
    <col min="2" max="2" width="2.5546875" bestFit="1" customWidth="1"/>
    <col min="3" max="3" width="11.44140625" bestFit="1" customWidth="1"/>
    <col min="4" max="4" width="15.33203125" bestFit="1" customWidth="1"/>
    <col min="5" max="5" width="12.33203125" bestFit="1" customWidth="1"/>
    <col min="6" max="6" width="8.109375" bestFit="1" customWidth="1"/>
    <col min="7" max="7" width="11.6640625" bestFit="1" customWidth="1"/>
    <col min="8" max="8" width="3.33203125" bestFit="1" customWidth="1"/>
  </cols>
  <sheetData>
    <row r="1" spans="1:8" s="2" customFormat="1" x14ac:dyDescent="0.3">
      <c r="A1" s="2" t="s">
        <v>3</v>
      </c>
      <c r="B1" s="2" t="s">
        <v>283</v>
      </c>
      <c r="C1" s="2" t="s">
        <v>302</v>
      </c>
      <c r="D1" s="2" t="s">
        <v>303</v>
      </c>
      <c r="E1" s="2" t="s">
        <v>272</v>
      </c>
      <c r="F1" s="2" t="s">
        <v>297</v>
      </c>
      <c r="G1" s="2" t="s">
        <v>299</v>
      </c>
      <c r="H1" s="2" t="s">
        <v>298</v>
      </c>
    </row>
    <row r="2" spans="1:8" x14ac:dyDescent="0.3">
      <c r="A2" t="s">
        <v>328</v>
      </c>
      <c r="B2">
        <f>IF(ISNUMBER(B1),B1+1,1)</f>
        <v>1</v>
      </c>
      <c r="C2" t="s">
        <v>329</v>
      </c>
      <c r="D2" t="s">
        <v>330</v>
      </c>
      <c r="E2" t="str">
        <f>"'"&amp;TEXT("10-Oct-2010","YYYY-MM-DD")</f>
        <v>'2010-10-10</v>
      </c>
      <c r="F2" t="s">
        <v>5</v>
      </c>
      <c r="G2">
        <v>1</v>
      </c>
      <c r="H2">
        <f>B2</f>
        <v>1</v>
      </c>
    </row>
    <row r="3" spans="1:8" x14ac:dyDescent="0.3">
      <c r="A3" t="s">
        <v>328</v>
      </c>
      <c r="B3">
        <f>IF(ISNUMBER(B2),B2+1,1)</f>
        <v>2</v>
      </c>
      <c r="C3" t="s">
        <v>331</v>
      </c>
      <c r="D3" t="s">
        <v>332</v>
      </c>
      <c r="E3" t="str">
        <f>"'"&amp;TEXT("10-Oct-2010","YYYY-MM-DD")</f>
        <v>'2010-10-10</v>
      </c>
      <c r="F3" t="s">
        <v>5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5"/>
  <sheetViews>
    <sheetView topLeftCell="M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19.44140625" bestFit="1" customWidth="1"/>
    <col min="4" max="4" width="11.88671875" bestFit="1" customWidth="1"/>
    <col min="5" max="5" width="25.109375" bestFit="1" customWidth="1"/>
    <col min="6" max="6" width="35.33203125" bestFit="1" customWidth="1"/>
    <col min="7" max="7" width="11.109375" bestFit="1" customWidth="1"/>
    <col min="8" max="8" width="12" bestFit="1" customWidth="1"/>
    <col min="9" max="9" width="12.33203125" bestFit="1" customWidth="1"/>
    <col min="10" max="10" width="8.109375" bestFit="1" customWidth="1"/>
    <col min="11" max="11" width="3.33203125" bestFit="1" customWidth="1"/>
  </cols>
  <sheetData>
    <row r="1" spans="1:11" s="2" customFormat="1" x14ac:dyDescent="0.3">
      <c r="A1" s="2" t="s">
        <v>3</v>
      </c>
      <c r="B1" s="2" t="s">
        <v>283</v>
      </c>
      <c r="C1" s="2" t="s">
        <v>4</v>
      </c>
      <c r="D1" s="2" t="s">
        <v>304</v>
      </c>
      <c r="E1" s="2" t="s">
        <v>305</v>
      </c>
      <c r="F1" s="2" t="s">
        <v>306</v>
      </c>
      <c r="G1" s="2" t="s">
        <v>342</v>
      </c>
      <c r="H1" s="2" t="s">
        <v>296</v>
      </c>
      <c r="I1" s="2" t="s">
        <v>272</v>
      </c>
      <c r="J1" s="2" t="s">
        <v>297</v>
      </c>
      <c r="K1" s="2" t="s">
        <v>298</v>
      </c>
    </row>
    <row r="2" spans="1:11" x14ac:dyDescent="0.3">
      <c r="A2" t="s">
        <v>313</v>
      </c>
      <c r="B2">
        <f>IF(ISNUMBER(B1),B1+1,1)</f>
        <v>1</v>
      </c>
      <c r="C2" t="s">
        <v>310</v>
      </c>
      <c r="D2" t="s">
        <v>314</v>
      </c>
      <c r="E2" s="3" t="s">
        <v>315</v>
      </c>
      <c r="F2" t="str">
        <f t="shared" ref="F2:F3" ca="1" si="0">"did:sovrin:"&amp;DEC2HEX(RANDBETWEEN(100000000,999999999))&amp;DEC2HEX(RANDBETWEEN(100000000,999999999))&amp;DEC2HEX(RANDBETWEEN(100000000,999999999))</f>
        <v>did:sovrin:3AD5ACBC9E3CD44218AE996</v>
      </c>
      <c r="G2" t="s">
        <v>55</v>
      </c>
      <c r="H2">
        <f>VLOOKUP(G2,Jurisdiction!C:I,7,FALSE)</f>
        <v>1</v>
      </c>
      <c r="I2" t="str">
        <f>"'"&amp;TEXT("10-Oct-2010","YYYY-MM-DD")</f>
        <v>'2010-10-10</v>
      </c>
      <c r="J2" t="s">
        <v>5</v>
      </c>
      <c r="K2">
        <f>B2</f>
        <v>1</v>
      </c>
    </row>
    <row r="3" spans="1:11" x14ac:dyDescent="0.3">
      <c r="A3" t="s">
        <v>313</v>
      </c>
      <c r="B3">
        <f t="shared" ref="B3:B5" si="1">IF(ISNUMBER(B2),B2+1,1)</f>
        <v>2</v>
      </c>
      <c r="C3" t="s">
        <v>316</v>
      </c>
      <c r="D3" t="s">
        <v>318</v>
      </c>
      <c r="E3" s="3" t="s">
        <v>317</v>
      </c>
      <c r="F3" t="str">
        <f t="shared" ca="1" si="0"/>
        <v>did:sovrin:1636B0F225A151511238A6CC</v>
      </c>
      <c r="G3" t="s">
        <v>55</v>
      </c>
      <c r="H3">
        <f>VLOOKUP(G3,Jurisdiction!C:I,7,FALSE)</f>
        <v>1</v>
      </c>
      <c r="I3" t="str">
        <f t="shared" ref="I3:I5" si="2">"'"&amp;TEXT("10-Oct-2010","YYYY-MM-DD")</f>
        <v>'2010-10-10</v>
      </c>
      <c r="J3" t="s">
        <v>5</v>
      </c>
      <c r="K3">
        <f t="shared" ref="K3:K5" si="3">B3</f>
        <v>2</v>
      </c>
    </row>
    <row r="4" spans="1:11" x14ac:dyDescent="0.3">
      <c r="A4" t="s">
        <v>313</v>
      </c>
      <c r="B4">
        <f t="shared" ref="B4" si="4">IF(ISNUMBER(B3),B3+1,1)</f>
        <v>3</v>
      </c>
      <c r="C4" t="s">
        <v>319</v>
      </c>
      <c r="D4" t="s">
        <v>320</v>
      </c>
      <c r="E4" s="3" t="s">
        <v>321</v>
      </c>
      <c r="F4" t="str">
        <f t="shared" ref="F4" ca="1" si="5">"did:sovrin:"&amp;DEC2HEX(RANDBETWEEN(100000000,999999999))&amp;DEC2HEX(RANDBETWEEN(100000000,999999999))&amp;DEC2HEX(RANDBETWEEN(100000000,999999999))</f>
        <v>did:sovrin:207B1FA530400C8E2A2B6380</v>
      </c>
      <c r="G4" t="s">
        <v>55</v>
      </c>
      <c r="H4">
        <f>VLOOKUP(G4,Jurisdiction!C:I,7,FALSE)</f>
        <v>1</v>
      </c>
      <c r="I4" t="str">
        <f t="shared" si="2"/>
        <v>'2010-10-10</v>
      </c>
      <c r="J4" t="s">
        <v>5</v>
      </c>
      <c r="K4">
        <f t="shared" ref="K4" si="6">B4</f>
        <v>3</v>
      </c>
    </row>
    <row r="5" spans="1:11" x14ac:dyDescent="0.3">
      <c r="A5" t="s">
        <v>313</v>
      </c>
      <c r="B5">
        <f t="shared" si="1"/>
        <v>4</v>
      </c>
      <c r="C5" t="s">
        <v>322</v>
      </c>
      <c r="D5" t="s">
        <v>326</v>
      </c>
      <c r="E5" s="3" t="s">
        <v>327</v>
      </c>
      <c r="F5" t="str">
        <f ca="1">"did:sovrin:"&amp;DEC2HEX(RANDBETWEEN(100000000,999999999))&amp;DEC2HEX(RANDBETWEEN(100000000,999999999))&amp;DEC2HEX(RANDBETWEEN(100000000,999999999))</f>
        <v>did:sovrin:108900182D478A7D2D51872B</v>
      </c>
      <c r="G5" t="s">
        <v>55</v>
      </c>
      <c r="H5">
        <f>VLOOKUP(G5,Jurisdiction!C:I,7,FALSE)</f>
        <v>1</v>
      </c>
      <c r="I5" t="str">
        <f t="shared" si="2"/>
        <v>'2010-10-10</v>
      </c>
      <c r="J5" t="s">
        <v>5</v>
      </c>
      <c r="K5">
        <f t="shared" si="3"/>
        <v>4</v>
      </c>
    </row>
  </sheetData>
  <hyperlinks>
    <hyperlink ref="E2" r:id="rId1" xr:uid="{00000000-0004-0000-0900-000000000000}"/>
    <hyperlink ref="E3" r:id="rId2" xr:uid="{00000000-0004-0000-0900-000001000000}"/>
    <hyperlink ref="E5" r:id="rId3" xr:uid="{00000000-0004-0000-0900-000002000000}"/>
    <hyperlink ref="E4" r:id="rId4" xr:uid="{00000000-0004-0000-0900-000003000000}"/>
  </hyperlinks>
  <pageMargins left="0.7" right="0.7" top="0.75" bottom="0.75" header="0.3" footer="0.3"/>
  <pageSetup orientation="portrait" r:id="rId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I2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.6640625" bestFit="1" customWidth="1"/>
    <col min="2" max="2" width="2.5546875" bestFit="1" customWidth="1"/>
    <col min="3" max="3" width="15.5546875" bestFit="1" customWidth="1"/>
    <col min="4" max="4" width="15.44140625" bestFit="1" customWidth="1"/>
    <col min="5" max="5" width="11.6640625" bestFit="1" customWidth="1"/>
    <col min="6" max="6" width="15.33203125" bestFit="1" customWidth="1"/>
    <col min="7" max="7" width="12.33203125" bestFit="1" customWidth="1"/>
    <col min="8" max="8" width="13.44140625" bestFit="1" customWidth="1"/>
    <col min="9" max="9" width="3.33203125" bestFit="1" customWidth="1"/>
  </cols>
  <sheetData>
    <row r="1" spans="1:9" s="2" customFormat="1" x14ac:dyDescent="0.3">
      <c r="A1" s="2" t="s">
        <v>3</v>
      </c>
      <c r="B1" s="2" t="s">
        <v>283</v>
      </c>
      <c r="C1" s="2" t="s">
        <v>343</v>
      </c>
      <c r="D1" s="2" t="s">
        <v>4</v>
      </c>
      <c r="E1" s="2" t="s">
        <v>299</v>
      </c>
      <c r="F1" s="2" t="s">
        <v>307</v>
      </c>
      <c r="G1" s="2" t="s">
        <v>272</v>
      </c>
      <c r="H1" s="2" t="s">
        <v>297</v>
      </c>
      <c r="I1" s="2" t="s">
        <v>298</v>
      </c>
    </row>
    <row r="2" spans="1:9" x14ac:dyDescent="0.3">
      <c r="A2" t="s">
        <v>308</v>
      </c>
      <c r="B2">
        <f>IF(ISNUMBER(B1),B1+1,1)</f>
        <v>1</v>
      </c>
      <c r="C2" t="s">
        <v>55</v>
      </c>
      <c r="D2" t="s">
        <v>309</v>
      </c>
      <c r="E2">
        <v>1</v>
      </c>
      <c r="F2" t="s">
        <v>275</v>
      </c>
      <c r="G2" t="str">
        <f>"'"&amp;TEXT("10-Oct-2010","YYYY-MM-DD")</f>
        <v>'2010-10-10</v>
      </c>
      <c r="H2" t="s">
        <v>5</v>
      </c>
      <c r="I2">
        <f>B2</f>
        <v>1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K40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4.44140625" style="1" bestFit="1" customWidth="1"/>
    <col min="2" max="2" width="3" style="1" bestFit="1" customWidth="1"/>
    <col min="3" max="4" width="8.88671875" style="1"/>
    <col min="5" max="5" width="19.6640625" style="1" bestFit="1" customWidth="1"/>
    <col min="6" max="6" width="10.109375" style="1" bestFit="1" customWidth="1"/>
    <col min="7" max="7" width="10.6640625" style="1" bestFit="1" customWidth="1"/>
    <col min="8" max="8" width="30.33203125" style="1" bestFit="1" customWidth="1"/>
    <col min="9" max="9" width="12.109375" style="1" bestFit="1" customWidth="1"/>
    <col min="10" max="10" width="7.88671875" style="1" bestFit="1" customWidth="1"/>
    <col min="11" max="11" width="3.109375" style="1" bestFit="1" customWidth="1"/>
    <col min="12" max="16384" width="8.88671875" style="1"/>
  </cols>
  <sheetData>
    <row r="1" spans="1:11" s="2" customFormat="1" x14ac:dyDescent="0.3">
      <c r="A1" s="2" t="s">
        <v>3</v>
      </c>
      <c r="B1" s="2" t="s">
        <v>283</v>
      </c>
      <c r="C1" s="2" t="s">
        <v>337</v>
      </c>
      <c r="D1" s="2" t="s">
        <v>338</v>
      </c>
      <c r="E1" s="2" t="s">
        <v>339</v>
      </c>
      <c r="F1" s="2" t="s">
        <v>279</v>
      </c>
      <c r="G1" s="2" t="s">
        <v>278</v>
      </c>
      <c r="H1" s="2" t="s">
        <v>277</v>
      </c>
      <c r="I1" s="2" t="s">
        <v>272</v>
      </c>
      <c r="J1" s="2" t="s">
        <v>297</v>
      </c>
      <c r="K1" s="2" t="s">
        <v>298</v>
      </c>
    </row>
    <row r="2" spans="1:11" x14ac:dyDescent="0.3">
      <c r="A2" s="1" t="s">
        <v>276</v>
      </c>
      <c r="B2">
        <f>IF(ISNUMBER(B1),B1+1,1)</f>
        <v>1</v>
      </c>
      <c r="C2" s="1" t="s">
        <v>5</v>
      </c>
      <c r="D2" s="1" t="s">
        <v>5</v>
      </c>
      <c r="E2" s="1" t="s">
        <v>340</v>
      </c>
      <c r="F2" s="1" t="s">
        <v>63</v>
      </c>
      <c r="G2" s="1" t="s">
        <v>64</v>
      </c>
      <c r="H2" s="1" t="e">
        <f>#REF!</f>
        <v>#REF!</v>
      </c>
      <c r="I2" t="str">
        <f>"'"&amp;TEXT("10-Oct-2010","YYYY-MM-DD")</f>
        <v>'2010-10-10</v>
      </c>
      <c r="J2" s="1" t="s">
        <v>5</v>
      </c>
      <c r="K2">
        <f>B2</f>
        <v>1</v>
      </c>
    </row>
    <row r="3" spans="1:11" x14ac:dyDescent="0.3">
      <c r="A3" s="1" t="s">
        <v>276</v>
      </c>
      <c r="B3">
        <f t="shared" ref="B3:B40" si="0">IF(ISNUMBER(B2),B2+1,1)</f>
        <v>2</v>
      </c>
      <c r="C3" s="1" t="s">
        <v>5</v>
      </c>
      <c r="D3" s="1" t="s">
        <v>5</v>
      </c>
      <c r="E3" s="1" t="s">
        <v>340</v>
      </c>
      <c r="F3" s="1" t="s">
        <v>69</v>
      </c>
      <c r="G3" s="1" t="s">
        <v>70</v>
      </c>
      <c r="H3" s="1" t="e">
        <f>#REF!</f>
        <v>#REF!</v>
      </c>
      <c r="I3" t="str">
        <f t="shared" ref="I3:I40" si="1">"'"&amp;TEXT("10-Oct-2010","YYYY-MM-DD")</f>
        <v>'2010-10-10</v>
      </c>
      <c r="J3" s="1" t="s">
        <v>5</v>
      </c>
      <c r="K3">
        <f t="shared" ref="K3:K40" si="2">B3</f>
        <v>2</v>
      </c>
    </row>
    <row r="4" spans="1:11" x14ac:dyDescent="0.3">
      <c r="A4" s="1" t="s">
        <v>276</v>
      </c>
      <c r="B4">
        <f t="shared" si="0"/>
        <v>3</v>
      </c>
      <c r="C4" s="1" t="s">
        <v>5</v>
      </c>
      <c r="D4" s="1" t="s">
        <v>5</v>
      </c>
      <c r="E4" s="1" t="s">
        <v>340</v>
      </c>
      <c r="F4" s="1" t="s">
        <v>74</v>
      </c>
      <c r="G4" s="1" t="s">
        <v>75</v>
      </c>
      <c r="H4" s="1" t="e">
        <f>#REF!</f>
        <v>#REF!</v>
      </c>
      <c r="I4" t="str">
        <f t="shared" si="1"/>
        <v>'2010-10-10</v>
      </c>
      <c r="J4" s="1" t="s">
        <v>5</v>
      </c>
      <c r="K4">
        <f t="shared" si="2"/>
        <v>3</v>
      </c>
    </row>
    <row r="5" spans="1:11" x14ac:dyDescent="0.3">
      <c r="A5" s="1" t="s">
        <v>276</v>
      </c>
      <c r="B5">
        <f t="shared" si="0"/>
        <v>4</v>
      </c>
      <c r="C5" s="1" t="s">
        <v>5</v>
      </c>
      <c r="D5" s="1" t="s">
        <v>5</v>
      </c>
      <c r="E5" s="1" t="s">
        <v>340</v>
      </c>
      <c r="F5" s="1" t="s">
        <v>78</v>
      </c>
      <c r="G5" s="1" t="s">
        <v>79</v>
      </c>
      <c r="H5" s="1" t="e">
        <f>#REF!</f>
        <v>#REF!</v>
      </c>
      <c r="I5" t="str">
        <f t="shared" si="1"/>
        <v>'2010-10-10</v>
      </c>
      <c r="J5" s="1" t="s">
        <v>5</v>
      </c>
      <c r="K5">
        <f t="shared" si="2"/>
        <v>4</v>
      </c>
    </row>
    <row r="6" spans="1:11" x14ac:dyDescent="0.3">
      <c r="A6" s="1" t="s">
        <v>276</v>
      </c>
      <c r="B6">
        <f t="shared" si="0"/>
        <v>5</v>
      </c>
      <c r="C6" s="1" t="s">
        <v>5</v>
      </c>
      <c r="D6" s="1" t="s">
        <v>5</v>
      </c>
      <c r="E6" s="1" t="s">
        <v>340</v>
      </c>
      <c r="F6" s="1" t="s">
        <v>82</v>
      </c>
      <c r="G6" s="1" t="s">
        <v>83</v>
      </c>
      <c r="H6" s="1" t="e">
        <f>#REF!</f>
        <v>#REF!</v>
      </c>
      <c r="I6" t="str">
        <f t="shared" si="1"/>
        <v>'2010-10-10</v>
      </c>
      <c r="J6" s="1" t="s">
        <v>5</v>
      </c>
      <c r="K6">
        <f t="shared" si="2"/>
        <v>5</v>
      </c>
    </row>
    <row r="7" spans="1:11" x14ac:dyDescent="0.3">
      <c r="A7" s="1" t="s">
        <v>276</v>
      </c>
      <c r="B7">
        <f t="shared" si="0"/>
        <v>6</v>
      </c>
      <c r="C7" s="1" t="s">
        <v>5</v>
      </c>
      <c r="D7" s="1" t="s">
        <v>5</v>
      </c>
      <c r="E7" s="1" t="s">
        <v>340</v>
      </c>
      <c r="F7" s="1" t="s">
        <v>84</v>
      </c>
      <c r="G7" s="1" t="s">
        <v>85</v>
      </c>
      <c r="H7" s="1" t="e">
        <f>#REF!</f>
        <v>#REF!</v>
      </c>
      <c r="I7" t="str">
        <f t="shared" si="1"/>
        <v>'2010-10-10</v>
      </c>
      <c r="J7" s="1" t="s">
        <v>5</v>
      </c>
      <c r="K7">
        <f t="shared" si="2"/>
        <v>6</v>
      </c>
    </row>
    <row r="8" spans="1:11" x14ac:dyDescent="0.3">
      <c r="A8" s="1" t="s">
        <v>276</v>
      </c>
      <c r="B8">
        <f t="shared" si="0"/>
        <v>7</v>
      </c>
      <c r="C8" s="1" t="s">
        <v>5</v>
      </c>
      <c r="D8" s="1" t="s">
        <v>5</v>
      </c>
      <c r="E8" s="1" t="s">
        <v>340</v>
      </c>
      <c r="F8" s="1" t="s">
        <v>89</v>
      </c>
      <c r="G8" s="1" t="s">
        <v>91</v>
      </c>
      <c r="H8" s="1" t="e">
        <f>#REF!</f>
        <v>#REF!</v>
      </c>
      <c r="I8" t="str">
        <f t="shared" si="1"/>
        <v>'2010-10-10</v>
      </c>
      <c r="J8" s="1" t="s">
        <v>5</v>
      </c>
      <c r="K8">
        <f t="shared" si="2"/>
        <v>7</v>
      </c>
    </row>
    <row r="9" spans="1:11" x14ac:dyDescent="0.3">
      <c r="A9" s="1" t="s">
        <v>276</v>
      </c>
      <c r="B9">
        <f t="shared" si="0"/>
        <v>8</v>
      </c>
      <c r="C9" s="1" t="s">
        <v>5</v>
      </c>
      <c r="D9" s="1" t="s">
        <v>5</v>
      </c>
      <c r="E9" s="1" t="s">
        <v>340</v>
      </c>
      <c r="F9" s="1" t="s">
        <v>93</v>
      </c>
      <c r="G9" s="1" t="s">
        <v>95</v>
      </c>
      <c r="H9" s="1" t="e">
        <f>#REF!</f>
        <v>#REF!</v>
      </c>
      <c r="I9" t="str">
        <f t="shared" si="1"/>
        <v>'2010-10-10</v>
      </c>
      <c r="J9" s="1" t="s">
        <v>5</v>
      </c>
      <c r="K9">
        <f t="shared" si="2"/>
        <v>8</v>
      </c>
    </row>
    <row r="10" spans="1:11" x14ac:dyDescent="0.3">
      <c r="A10" s="1" t="s">
        <v>276</v>
      </c>
      <c r="B10">
        <f t="shared" si="0"/>
        <v>9</v>
      </c>
      <c r="C10" s="1" t="s">
        <v>5</v>
      </c>
      <c r="D10" s="1" t="s">
        <v>5</v>
      </c>
      <c r="E10" s="1" t="s">
        <v>340</v>
      </c>
      <c r="F10" s="1" t="s">
        <v>98</v>
      </c>
      <c r="G10" s="1" t="s">
        <v>99</v>
      </c>
      <c r="H10" s="1" t="e">
        <f>#REF!</f>
        <v>#REF!</v>
      </c>
      <c r="I10" t="str">
        <f t="shared" si="1"/>
        <v>'2010-10-10</v>
      </c>
      <c r="J10" s="1" t="s">
        <v>5</v>
      </c>
      <c r="K10">
        <f t="shared" si="2"/>
        <v>9</v>
      </c>
    </row>
    <row r="11" spans="1:11" x14ac:dyDescent="0.3">
      <c r="A11" s="1" t="s">
        <v>276</v>
      </c>
      <c r="B11">
        <f t="shared" si="0"/>
        <v>10</v>
      </c>
      <c r="C11" s="1" t="s">
        <v>5</v>
      </c>
      <c r="D11" s="1" t="s">
        <v>5</v>
      </c>
      <c r="E11" s="1" t="s">
        <v>340</v>
      </c>
      <c r="F11" s="1" t="s">
        <v>101</v>
      </c>
      <c r="G11" s="1" t="s">
        <v>102</v>
      </c>
      <c r="H11" s="1" t="e">
        <f>#REF!</f>
        <v>#REF!</v>
      </c>
      <c r="I11" t="str">
        <f t="shared" si="1"/>
        <v>'2010-10-10</v>
      </c>
      <c r="J11" s="1" t="s">
        <v>5</v>
      </c>
      <c r="K11">
        <f t="shared" si="2"/>
        <v>10</v>
      </c>
    </row>
    <row r="12" spans="1:11" x14ac:dyDescent="0.3">
      <c r="A12" s="1" t="s">
        <v>276</v>
      </c>
      <c r="B12">
        <f t="shared" si="0"/>
        <v>11</v>
      </c>
      <c r="C12" s="1" t="s">
        <v>5</v>
      </c>
      <c r="D12" s="1" t="s">
        <v>5</v>
      </c>
      <c r="E12" s="1" t="s">
        <v>340</v>
      </c>
      <c r="F12" s="1" t="s">
        <v>105</v>
      </c>
      <c r="G12" s="1" t="s">
        <v>106</v>
      </c>
      <c r="H12" s="1" t="e">
        <f>#REF!</f>
        <v>#REF!</v>
      </c>
      <c r="I12" t="str">
        <f t="shared" si="1"/>
        <v>'2010-10-10</v>
      </c>
      <c r="J12" s="1" t="s">
        <v>5</v>
      </c>
      <c r="K12">
        <f t="shared" si="2"/>
        <v>11</v>
      </c>
    </row>
    <row r="13" spans="1:11" x14ac:dyDescent="0.3">
      <c r="A13" s="1" t="s">
        <v>276</v>
      </c>
      <c r="B13">
        <f t="shared" si="0"/>
        <v>12</v>
      </c>
      <c r="C13" s="1" t="s">
        <v>5</v>
      </c>
      <c r="D13" s="1" t="s">
        <v>5</v>
      </c>
      <c r="E13" s="1" t="s">
        <v>340</v>
      </c>
      <c r="F13" s="1" t="s">
        <v>109</v>
      </c>
      <c r="G13" s="1" t="s">
        <v>91</v>
      </c>
      <c r="H13" s="1" t="e">
        <f>#REF!</f>
        <v>#REF!</v>
      </c>
      <c r="I13" t="str">
        <f t="shared" si="1"/>
        <v>'2010-10-10</v>
      </c>
      <c r="J13" s="1" t="s">
        <v>5</v>
      </c>
      <c r="K13">
        <f t="shared" si="2"/>
        <v>12</v>
      </c>
    </row>
    <row r="14" spans="1:11" x14ac:dyDescent="0.3">
      <c r="A14" s="1" t="s">
        <v>276</v>
      </c>
      <c r="B14">
        <f t="shared" si="0"/>
        <v>13</v>
      </c>
      <c r="C14" s="1" t="s">
        <v>5</v>
      </c>
      <c r="D14" s="1" t="s">
        <v>5</v>
      </c>
      <c r="E14" s="1" t="s">
        <v>340</v>
      </c>
      <c r="F14" s="1" t="s">
        <v>98</v>
      </c>
      <c r="G14" s="1" t="s">
        <v>110</v>
      </c>
      <c r="H14" s="1" t="e">
        <f>#REF!</f>
        <v>#REF!</v>
      </c>
      <c r="I14" t="str">
        <f t="shared" si="1"/>
        <v>'2010-10-10</v>
      </c>
      <c r="J14" s="1" t="s">
        <v>5</v>
      </c>
      <c r="K14">
        <f t="shared" si="2"/>
        <v>13</v>
      </c>
    </row>
    <row r="15" spans="1:11" x14ac:dyDescent="0.3">
      <c r="A15" s="1" t="s">
        <v>276</v>
      </c>
      <c r="B15">
        <f t="shared" si="0"/>
        <v>14</v>
      </c>
      <c r="C15" s="1" t="s">
        <v>5</v>
      </c>
      <c r="D15" s="1" t="s">
        <v>5</v>
      </c>
      <c r="E15" s="1" t="s">
        <v>340</v>
      </c>
      <c r="F15" s="1" t="s">
        <v>112</v>
      </c>
      <c r="G15" s="1" t="s">
        <v>113</v>
      </c>
      <c r="H15" s="1" t="e">
        <f>#REF!</f>
        <v>#REF!</v>
      </c>
      <c r="I15" t="str">
        <f t="shared" si="1"/>
        <v>'2010-10-10</v>
      </c>
      <c r="J15" s="1" t="s">
        <v>5</v>
      </c>
      <c r="K15">
        <f t="shared" si="2"/>
        <v>14</v>
      </c>
    </row>
    <row r="16" spans="1:11" x14ac:dyDescent="0.3">
      <c r="A16" s="1" t="s">
        <v>276</v>
      </c>
      <c r="B16">
        <f t="shared" si="0"/>
        <v>15</v>
      </c>
      <c r="C16" s="1" t="s">
        <v>5</v>
      </c>
      <c r="D16" s="1" t="s">
        <v>5</v>
      </c>
      <c r="E16" s="1" t="s">
        <v>340</v>
      </c>
      <c r="F16" s="1" t="s">
        <v>114</v>
      </c>
      <c r="G16" s="1" t="s">
        <v>115</v>
      </c>
      <c r="H16" s="1" t="e">
        <f>#REF!</f>
        <v>#REF!</v>
      </c>
      <c r="I16" t="str">
        <f t="shared" si="1"/>
        <v>'2010-10-10</v>
      </c>
      <c r="J16" s="1" t="s">
        <v>5</v>
      </c>
      <c r="K16">
        <f t="shared" si="2"/>
        <v>15</v>
      </c>
    </row>
    <row r="17" spans="1:11" x14ac:dyDescent="0.3">
      <c r="A17" s="1" t="s">
        <v>276</v>
      </c>
      <c r="B17">
        <f t="shared" si="0"/>
        <v>16</v>
      </c>
      <c r="C17" s="1" t="s">
        <v>5</v>
      </c>
      <c r="D17" s="1" t="s">
        <v>5</v>
      </c>
      <c r="E17" s="1" t="s">
        <v>340</v>
      </c>
      <c r="F17" s="1" t="s">
        <v>131</v>
      </c>
      <c r="G17" s="1" t="s">
        <v>132</v>
      </c>
      <c r="H17" s="1" t="e">
        <f>#REF!</f>
        <v>#REF!</v>
      </c>
      <c r="I17" t="str">
        <f t="shared" si="1"/>
        <v>'2010-10-10</v>
      </c>
      <c r="J17" s="1" t="s">
        <v>5</v>
      </c>
      <c r="K17">
        <f t="shared" si="2"/>
        <v>16</v>
      </c>
    </row>
    <row r="18" spans="1:11" x14ac:dyDescent="0.3">
      <c r="A18" s="1" t="s">
        <v>276</v>
      </c>
      <c r="B18">
        <f t="shared" si="0"/>
        <v>17</v>
      </c>
      <c r="C18" s="1" t="s">
        <v>5</v>
      </c>
      <c r="D18" s="1" t="s">
        <v>5</v>
      </c>
      <c r="E18" s="1" t="s">
        <v>340</v>
      </c>
      <c r="F18" s="1" t="s">
        <v>133</v>
      </c>
      <c r="G18" s="1" t="s">
        <v>134</v>
      </c>
      <c r="H18" s="1" t="e">
        <f>#REF!</f>
        <v>#REF!</v>
      </c>
      <c r="I18" t="str">
        <f t="shared" si="1"/>
        <v>'2010-10-10</v>
      </c>
      <c r="J18" s="1" t="s">
        <v>5</v>
      </c>
      <c r="K18">
        <f t="shared" si="2"/>
        <v>17</v>
      </c>
    </row>
    <row r="19" spans="1:11" x14ac:dyDescent="0.3">
      <c r="A19" s="1" t="s">
        <v>276</v>
      </c>
      <c r="B19">
        <f t="shared" si="0"/>
        <v>18</v>
      </c>
      <c r="C19" s="1" t="s">
        <v>5</v>
      </c>
      <c r="D19" s="1" t="s">
        <v>5</v>
      </c>
      <c r="E19" s="1" t="s">
        <v>340</v>
      </c>
      <c r="F19" s="1" t="s">
        <v>137</v>
      </c>
      <c r="G19" s="1" t="s">
        <v>138</v>
      </c>
      <c r="H19" s="1" t="e">
        <f>#REF!</f>
        <v>#REF!</v>
      </c>
      <c r="I19" t="str">
        <f t="shared" si="1"/>
        <v>'2010-10-10</v>
      </c>
      <c r="J19" s="1" t="s">
        <v>5</v>
      </c>
      <c r="K19">
        <f t="shared" si="2"/>
        <v>18</v>
      </c>
    </row>
    <row r="20" spans="1:11" x14ac:dyDescent="0.3">
      <c r="A20" s="1" t="s">
        <v>276</v>
      </c>
      <c r="B20">
        <f t="shared" si="0"/>
        <v>19</v>
      </c>
      <c r="C20" s="1" t="s">
        <v>5</v>
      </c>
      <c r="D20" s="1" t="s">
        <v>5</v>
      </c>
      <c r="E20" s="1" t="s">
        <v>340</v>
      </c>
      <c r="F20" s="1" t="s">
        <v>139</v>
      </c>
      <c r="G20" s="1" t="s">
        <v>140</v>
      </c>
      <c r="H20" s="1" t="e">
        <f>#REF!</f>
        <v>#REF!</v>
      </c>
      <c r="I20" t="str">
        <f t="shared" si="1"/>
        <v>'2010-10-10</v>
      </c>
      <c r="J20" s="1" t="s">
        <v>5</v>
      </c>
      <c r="K20">
        <f t="shared" si="2"/>
        <v>19</v>
      </c>
    </row>
    <row r="21" spans="1:11" x14ac:dyDescent="0.3">
      <c r="A21" s="1" t="s">
        <v>276</v>
      </c>
      <c r="B21">
        <f t="shared" si="0"/>
        <v>20</v>
      </c>
      <c r="C21" s="1" t="s">
        <v>5</v>
      </c>
      <c r="D21" s="1" t="s">
        <v>5</v>
      </c>
      <c r="E21" s="1" t="s">
        <v>340</v>
      </c>
      <c r="F21" s="1" t="s">
        <v>141</v>
      </c>
      <c r="G21" s="1" t="s">
        <v>143</v>
      </c>
      <c r="H21" s="1" t="e">
        <f>#REF!</f>
        <v>#REF!</v>
      </c>
      <c r="I21" t="str">
        <f t="shared" si="1"/>
        <v>'2010-10-10</v>
      </c>
      <c r="J21" s="1" t="s">
        <v>5</v>
      </c>
      <c r="K21">
        <f t="shared" si="2"/>
        <v>20</v>
      </c>
    </row>
    <row r="22" spans="1:11" x14ac:dyDescent="0.3">
      <c r="A22" s="1" t="s">
        <v>276</v>
      </c>
      <c r="B22">
        <f t="shared" si="0"/>
        <v>21</v>
      </c>
      <c r="C22" s="1" t="s">
        <v>5</v>
      </c>
      <c r="D22" s="1" t="s">
        <v>5</v>
      </c>
      <c r="E22" s="1" t="s">
        <v>340</v>
      </c>
      <c r="F22" s="1" t="s">
        <v>144</v>
      </c>
      <c r="G22" s="1" t="s">
        <v>145</v>
      </c>
      <c r="H22" s="1" t="e">
        <f>#REF!</f>
        <v>#REF!</v>
      </c>
      <c r="I22" t="str">
        <f t="shared" si="1"/>
        <v>'2010-10-10</v>
      </c>
      <c r="J22" s="1" t="s">
        <v>5</v>
      </c>
      <c r="K22">
        <f t="shared" si="2"/>
        <v>21</v>
      </c>
    </row>
    <row r="23" spans="1:11" x14ac:dyDescent="0.3">
      <c r="A23" s="1" t="s">
        <v>276</v>
      </c>
      <c r="B23">
        <f t="shared" si="0"/>
        <v>22</v>
      </c>
      <c r="C23" s="1" t="s">
        <v>5</v>
      </c>
      <c r="D23" s="1" t="s">
        <v>5</v>
      </c>
      <c r="E23" s="1" t="s">
        <v>340</v>
      </c>
      <c r="F23" s="1" t="s">
        <v>160</v>
      </c>
      <c r="G23" s="1" t="s">
        <v>161</v>
      </c>
      <c r="H23" s="1" t="e">
        <f>#REF!</f>
        <v>#REF!</v>
      </c>
      <c r="I23" t="str">
        <f t="shared" si="1"/>
        <v>'2010-10-10</v>
      </c>
      <c r="J23" s="1" t="s">
        <v>5</v>
      </c>
      <c r="K23">
        <f t="shared" si="2"/>
        <v>22</v>
      </c>
    </row>
    <row r="24" spans="1:11" x14ac:dyDescent="0.3">
      <c r="A24" s="1" t="s">
        <v>276</v>
      </c>
      <c r="B24">
        <f t="shared" si="0"/>
        <v>23</v>
      </c>
      <c r="C24" s="1" t="s">
        <v>5</v>
      </c>
      <c r="D24" s="1" t="s">
        <v>5</v>
      </c>
      <c r="E24" s="1" t="s">
        <v>340</v>
      </c>
      <c r="F24" s="1" t="s">
        <v>162</v>
      </c>
      <c r="G24" s="1" t="s">
        <v>163</v>
      </c>
      <c r="H24" s="1" t="e">
        <f>#REF!</f>
        <v>#REF!</v>
      </c>
      <c r="I24" t="str">
        <f t="shared" si="1"/>
        <v>'2010-10-10</v>
      </c>
      <c r="J24" s="1" t="s">
        <v>5</v>
      </c>
      <c r="K24">
        <f t="shared" si="2"/>
        <v>23</v>
      </c>
    </row>
    <row r="25" spans="1:11" x14ac:dyDescent="0.3">
      <c r="A25" s="1" t="s">
        <v>276</v>
      </c>
      <c r="B25">
        <f t="shared" si="0"/>
        <v>24</v>
      </c>
      <c r="C25" s="1" t="s">
        <v>5</v>
      </c>
      <c r="D25" s="1" t="s">
        <v>5</v>
      </c>
      <c r="E25" s="1" t="s">
        <v>340</v>
      </c>
      <c r="F25" s="1" t="s">
        <v>164</v>
      </c>
      <c r="G25" s="1" t="s">
        <v>165</v>
      </c>
      <c r="H25" s="1" t="e">
        <f>#REF!</f>
        <v>#REF!</v>
      </c>
      <c r="I25" t="str">
        <f t="shared" si="1"/>
        <v>'2010-10-10</v>
      </c>
      <c r="J25" s="1" t="s">
        <v>5</v>
      </c>
      <c r="K25">
        <f t="shared" si="2"/>
        <v>24</v>
      </c>
    </row>
    <row r="26" spans="1:11" x14ac:dyDescent="0.3">
      <c r="A26" s="1" t="s">
        <v>276</v>
      </c>
      <c r="B26">
        <f t="shared" si="0"/>
        <v>25</v>
      </c>
      <c r="C26" s="1" t="s">
        <v>5</v>
      </c>
      <c r="D26" s="1" t="s">
        <v>5</v>
      </c>
      <c r="E26" s="1" t="s">
        <v>340</v>
      </c>
      <c r="F26" s="1" t="s">
        <v>168</v>
      </c>
      <c r="G26" s="1" t="s">
        <v>169</v>
      </c>
      <c r="H26" s="1" t="e">
        <f>#REF!</f>
        <v>#REF!</v>
      </c>
      <c r="I26" t="str">
        <f t="shared" si="1"/>
        <v>'2010-10-10</v>
      </c>
      <c r="J26" s="1" t="s">
        <v>5</v>
      </c>
      <c r="K26">
        <f t="shared" si="2"/>
        <v>25</v>
      </c>
    </row>
    <row r="27" spans="1:11" x14ac:dyDescent="0.3">
      <c r="A27" s="1" t="s">
        <v>276</v>
      </c>
      <c r="B27">
        <f t="shared" si="0"/>
        <v>26</v>
      </c>
      <c r="C27" s="1" t="s">
        <v>5</v>
      </c>
      <c r="D27" s="1" t="s">
        <v>5</v>
      </c>
      <c r="E27" s="1" t="s">
        <v>340</v>
      </c>
      <c r="F27" s="1" t="s">
        <v>170</v>
      </c>
      <c r="G27" s="1" t="s">
        <v>171</v>
      </c>
      <c r="H27" s="1" t="e">
        <f>#REF!</f>
        <v>#REF!</v>
      </c>
      <c r="I27" t="str">
        <f t="shared" si="1"/>
        <v>'2010-10-10</v>
      </c>
      <c r="J27" s="1" t="s">
        <v>5</v>
      </c>
      <c r="K27">
        <f t="shared" si="2"/>
        <v>26</v>
      </c>
    </row>
    <row r="28" spans="1:11" x14ac:dyDescent="0.3">
      <c r="A28" s="1" t="s">
        <v>276</v>
      </c>
      <c r="B28">
        <f t="shared" si="0"/>
        <v>27</v>
      </c>
      <c r="C28" s="1" t="s">
        <v>5</v>
      </c>
      <c r="D28" s="1" t="s">
        <v>5</v>
      </c>
      <c r="E28" s="1" t="s">
        <v>340</v>
      </c>
      <c r="F28" s="1" t="s">
        <v>173</v>
      </c>
      <c r="G28" s="1" t="s">
        <v>175</v>
      </c>
      <c r="H28" s="1" t="e">
        <f>#REF!</f>
        <v>#REF!</v>
      </c>
      <c r="I28" t="str">
        <f t="shared" si="1"/>
        <v>'2010-10-10</v>
      </c>
      <c r="J28" s="1" t="s">
        <v>5</v>
      </c>
      <c r="K28">
        <f t="shared" si="2"/>
        <v>27</v>
      </c>
    </row>
    <row r="29" spans="1:11" x14ac:dyDescent="0.3">
      <c r="A29" s="1" t="s">
        <v>276</v>
      </c>
      <c r="B29">
        <f t="shared" si="0"/>
        <v>28</v>
      </c>
      <c r="C29" s="1" t="s">
        <v>5</v>
      </c>
      <c r="D29" s="1" t="s">
        <v>5</v>
      </c>
      <c r="E29" s="1" t="s">
        <v>340</v>
      </c>
      <c r="F29" s="1" t="s">
        <v>176</v>
      </c>
      <c r="G29" s="1" t="s">
        <v>177</v>
      </c>
      <c r="H29" s="1" t="e">
        <f>#REF!</f>
        <v>#REF!</v>
      </c>
      <c r="I29" t="str">
        <f t="shared" si="1"/>
        <v>'2010-10-10</v>
      </c>
      <c r="J29" s="1" t="s">
        <v>5</v>
      </c>
      <c r="K29">
        <f t="shared" si="2"/>
        <v>28</v>
      </c>
    </row>
    <row r="30" spans="1:11" x14ac:dyDescent="0.3">
      <c r="A30" s="1" t="s">
        <v>276</v>
      </c>
      <c r="B30">
        <f t="shared" si="0"/>
        <v>29</v>
      </c>
      <c r="C30" s="1" t="s">
        <v>5</v>
      </c>
      <c r="D30" s="1" t="s">
        <v>5</v>
      </c>
      <c r="E30" s="1" t="s">
        <v>340</v>
      </c>
      <c r="F30" s="1" t="s">
        <v>179</v>
      </c>
      <c r="G30" s="1" t="s">
        <v>180</v>
      </c>
      <c r="H30" s="1" t="e">
        <f>#REF!</f>
        <v>#REF!</v>
      </c>
      <c r="I30" t="str">
        <f t="shared" si="1"/>
        <v>'2010-10-10</v>
      </c>
      <c r="J30" s="1" t="s">
        <v>5</v>
      </c>
      <c r="K30">
        <f t="shared" si="2"/>
        <v>29</v>
      </c>
    </row>
    <row r="31" spans="1:11" x14ac:dyDescent="0.3">
      <c r="A31" s="1" t="s">
        <v>276</v>
      </c>
      <c r="B31">
        <f t="shared" si="0"/>
        <v>30</v>
      </c>
      <c r="C31" s="1" t="s">
        <v>5</v>
      </c>
      <c r="D31" s="1" t="s">
        <v>5</v>
      </c>
      <c r="E31" s="1" t="s">
        <v>340</v>
      </c>
      <c r="F31" s="1" t="s">
        <v>182</v>
      </c>
      <c r="G31" s="1" t="s">
        <v>183</v>
      </c>
      <c r="H31" s="1" t="e">
        <f>#REF!</f>
        <v>#REF!</v>
      </c>
      <c r="I31" t="str">
        <f t="shared" si="1"/>
        <v>'2010-10-10</v>
      </c>
      <c r="J31" s="1" t="s">
        <v>5</v>
      </c>
      <c r="K31">
        <f t="shared" si="2"/>
        <v>30</v>
      </c>
    </row>
    <row r="32" spans="1:11" x14ac:dyDescent="0.3">
      <c r="A32" s="1" t="s">
        <v>276</v>
      </c>
      <c r="B32">
        <f t="shared" si="0"/>
        <v>31</v>
      </c>
      <c r="C32" s="1" t="s">
        <v>5</v>
      </c>
      <c r="D32" s="1" t="s">
        <v>5</v>
      </c>
      <c r="E32" s="1" t="s">
        <v>340</v>
      </c>
      <c r="F32" s="1" t="s">
        <v>187</v>
      </c>
      <c r="G32" s="1" t="s">
        <v>188</v>
      </c>
      <c r="H32" s="1" t="e">
        <f>#REF!</f>
        <v>#REF!</v>
      </c>
      <c r="I32" t="str">
        <f t="shared" si="1"/>
        <v>'2010-10-10</v>
      </c>
      <c r="J32" s="1" t="s">
        <v>5</v>
      </c>
      <c r="K32">
        <f t="shared" si="2"/>
        <v>31</v>
      </c>
    </row>
    <row r="33" spans="1:11" x14ac:dyDescent="0.3">
      <c r="A33" s="1" t="s">
        <v>276</v>
      </c>
      <c r="B33">
        <f t="shared" si="0"/>
        <v>32</v>
      </c>
      <c r="C33" s="1" t="s">
        <v>5</v>
      </c>
      <c r="D33" s="1" t="s">
        <v>5</v>
      </c>
      <c r="E33" s="1" t="s">
        <v>340</v>
      </c>
      <c r="F33" s="1" t="s">
        <v>189</v>
      </c>
      <c r="G33" s="1" t="s">
        <v>191</v>
      </c>
      <c r="H33" s="1" t="e">
        <f>#REF!</f>
        <v>#REF!</v>
      </c>
      <c r="I33" t="str">
        <f t="shared" si="1"/>
        <v>'2010-10-10</v>
      </c>
      <c r="J33" s="1" t="s">
        <v>5</v>
      </c>
      <c r="K33">
        <f t="shared" si="2"/>
        <v>32</v>
      </c>
    </row>
    <row r="34" spans="1:11" x14ac:dyDescent="0.3">
      <c r="A34" s="1" t="s">
        <v>276</v>
      </c>
      <c r="B34">
        <f t="shared" si="0"/>
        <v>33</v>
      </c>
      <c r="C34" s="1" t="s">
        <v>5</v>
      </c>
      <c r="D34" s="1" t="s">
        <v>5</v>
      </c>
      <c r="E34" s="1" t="s">
        <v>340</v>
      </c>
      <c r="F34" s="1" t="s">
        <v>160</v>
      </c>
      <c r="G34" s="1" t="s">
        <v>192</v>
      </c>
      <c r="H34" s="1" t="e">
        <f>#REF!</f>
        <v>#REF!</v>
      </c>
      <c r="I34" t="str">
        <f t="shared" si="1"/>
        <v>'2010-10-10</v>
      </c>
      <c r="J34" s="1" t="s">
        <v>5</v>
      </c>
      <c r="K34">
        <f t="shared" si="2"/>
        <v>33</v>
      </c>
    </row>
    <row r="35" spans="1:11" x14ac:dyDescent="0.3">
      <c r="A35" s="1" t="s">
        <v>276</v>
      </c>
      <c r="B35">
        <f t="shared" si="0"/>
        <v>34</v>
      </c>
      <c r="C35" s="1" t="s">
        <v>5</v>
      </c>
      <c r="D35" s="1" t="s">
        <v>5</v>
      </c>
      <c r="E35" s="1" t="s">
        <v>340</v>
      </c>
      <c r="F35" s="1" t="s">
        <v>194</v>
      </c>
      <c r="G35" s="1" t="s">
        <v>195</v>
      </c>
      <c r="H35" s="1" t="e">
        <f>#REF!</f>
        <v>#REF!</v>
      </c>
      <c r="I35" t="str">
        <f t="shared" si="1"/>
        <v>'2010-10-10</v>
      </c>
      <c r="J35" s="1" t="s">
        <v>5</v>
      </c>
      <c r="K35">
        <f t="shared" si="2"/>
        <v>34</v>
      </c>
    </row>
    <row r="36" spans="1:11" x14ac:dyDescent="0.3">
      <c r="A36" s="1" t="s">
        <v>276</v>
      </c>
      <c r="B36">
        <f t="shared" si="0"/>
        <v>35</v>
      </c>
      <c r="C36" s="1" t="s">
        <v>5</v>
      </c>
      <c r="D36" s="1" t="s">
        <v>5</v>
      </c>
      <c r="E36" s="1" t="s">
        <v>340</v>
      </c>
      <c r="F36" s="1" t="s">
        <v>196</v>
      </c>
      <c r="G36" s="1" t="s">
        <v>197</v>
      </c>
      <c r="H36" s="1" t="e">
        <f>#REF!</f>
        <v>#REF!</v>
      </c>
      <c r="I36" t="str">
        <f t="shared" si="1"/>
        <v>'2010-10-10</v>
      </c>
      <c r="J36" s="1" t="s">
        <v>5</v>
      </c>
      <c r="K36">
        <f t="shared" si="2"/>
        <v>35</v>
      </c>
    </row>
    <row r="37" spans="1:11" x14ac:dyDescent="0.3">
      <c r="A37" s="1" t="s">
        <v>276</v>
      </c>
      <c r="B37">
        <f t="shared" si="0"/>
        <v>36</v>
      </c>
      <c r="C37" s="1" t="s">
        <v>5</v>
      </c>
      <c r="D37" s="1" t="s">
        <v>5</v>
      </c>
      <c r="E37" s="1" t="s">
        <v>340</v>
      </c>
      <c r="F37" s="1" t="s">
        <v>198</v>
      </c>
      <c r="G37" s="1" t="s">
        <v>199</v>
      </c>
      <c r="H37" s="1" t="e">
        <f>#REF!</f>
        <v>#REF!</v>
      </c>
      <c r="I37" t="str">
        <f t="shared" si="1"/>
        <v>'2010-10-10</v>
      </c>
      <c r="J37" s="1" t="s">
        <v>5</v>
      </c>
      <c r="K37">
        <f t="shared" si="2"/>
        <v>36</v>
      </c>
    </row>
    <row r="38" spans="1:11" x14ac:dyDescent="0.3">
      <c r="A38" s="1" t="s">
        <v>276</v>
      </c>
      <c r="B38">
        <f t="shared" si="0"/>
        <v>37</v>
      </c>
      <c r="C38" s="1" t="s">
        <v>5</v>
      </c>
      <c r="D38" s="1" t="s">
        <v>5</v>
      </c>
      <c r="E38" s="1" t="s">
        <v>340</v>
      </c>
      <c r="F38" s="1" t="s">
        <v>201</v>
      </c>
      <c r="G38" s="1" t="s">
        <v>202</v>
      </c>
      <c r="H38" s="1" t="e">
        <f>#REF!</f>
        <v>#REF!</v>
      </c>
      <c r="I38" t="str">
        <f t="shared" si="1"/>
        <v>'2010-10-10</v>
      </c>
      <c r="J38" s="1" t="s">
        <v>5</v>
      </c>
      <c r="K38">
        <f t="shared" si="2"/>
        <v>37</v>
      </c>
    </row>
    <row r="39" spans="1:11" x14ac:dyDescent="0.3">
      <c r="A39" s="1" t="s">
        <v>276</v>
      </c>
      <c r="B39">
        <f t="shared" si="0"/>
        <v>38</v>
      </c>
      <c r="C39" s="1" t="s">
        <v>5</v>
      </c>
      <c r="D39" s="1" t="s">
        <v>5</v>
      </c>
      <c r="E39" s="1" t="s">
        <v>340</v>
      </c>
      <c r="F39" s="1" t="s">
        <v>203</v>
      </c>
      <c r="G39" s="1" t="s">
        <v>205</v>
      </c>
      <c r="H39" s="1" t="e">
        <f>#REF!</f>
        <v>#REF!</v>
      </c>
      <c r="I39" t="str">
        <f t="shared" si="1"/>
        <v>'2010-10-10</v>
      </c>
      <c r="J39" s="1" t="s">
        <v>5</v>
      </c>
      <c r="K39">
        <f t="shared" si="2"/>
        <v>38</v>
      </c>
    </row>
    <row r="40" spans="1:11" x14ac:dyDescent="0.3">
      <c r="A40" s="1" t="s">
        <v>276</v>
      </c>
      <c r="B40">
        <f t="shared" si="0"/>
        <v>39</v>
      </c>
      <c r="C40" s="1" t="s">
        <v>5</v>
      </c>
      <c r="D40" s="1" t="s">
        <v>5</v>
      </c>
      <c r="E40" s="1" t="s">
        <v>340</v>
      </c>
      <c r="F40" s="1" t="s">
        <v>207</v>
      </c>
      <c r="G40" s="1" t="s">
        <v>208</v>
      </c>
      <c r="H40" s="1" t="e">
        <f>#REF!</f>
        <v>#REF!</v>
      </c>
      <c r="I40" t="str">
        <f t="shared" si="1"/>
        <v>'2010-10-10</v>
      </c>
      <c r="J40" s="1" t="s">
        <v>5</v>
      </c>
      <c r="K40">
        <f t="shared" si="2"/>
        <v>39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E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6.109375" bestFit="1" customWidth="1"/>
    <col min="4" max="4" width="32.109375" bestFit="1" customWidth="1"/>
    <col min="5" max="5" width="3.33203125" bestFit="1" customWidth="1"/>
  </cols>
  <sheetData>
    <row r="1" spans="1:5" s="2" customFormat="1" x14ac:dyDescent="0.3">
      <c r="A1" s="2" t="s">
        <v>3</v>
      </c>
      <c r="B1" s="2" t="s">
        <v>283</v>
      </c>
      <c r="C1" s="2" t="s">
        <v>4</v>
      </c>
      <c r="D1" s="2" t="s">
        <v>274</v>
      </c>
      <c r="E1" s="2" t="s">
        <v>298</v>
      </c>
    </row>
    <row r="2" spans="1:5" x14ac:dyDescent="0.3">
      <c r="A2" t="s">
        <v>2</v>
      </c>
      <c r="B2">
        <f>IF(ISNUMBER(B1),B1+1,1)</f>
        <v>1</v>
      </c>
      <c r="C2" t="s">
        <v>265</v>
      </c>
      <c r="D2" t="s">
        <v>270</v>
      </c>
      <c r="E2">
        <f>B2</f>
        <v>1</v>
      </c>
    </row>
    <row r="3" spans="1:5" x14ac:dyDescent="0.3">
      <c r="A3" t="s">
        <v>2</v>
      </c>
      <c r="B3">
        <f>IF(ISNUMBER(B2),B2+1,1)</f>
        <v>2</v>
      </c>
      <c r="C3" t="s">
        <v>267</v>
      </c>
      <c r="D3" t="s">
        <v>271</v>
      </c>
      <c r="E3">
        <f>B3</f>
        <v>2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H43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8.109375" style="4" bestFit="1" customWidth="1"/>
    <col min="2" max="2" width="3" style="4" bestFit="1" customWidth="1"/>
    <col min="3" max="3" width="6.109375" style="4" bestFit="1" customWidth="1"/>
    <col min="4" max="4" width="6.6640625" style="4" bestFit="1" customWidth="1"/>
    <col min="5" max="5" width="6.44140625" style="4" bestFit="1" customWidth="1"/>
    <col min="6" max="6" width="12.109375" style="4" bestFit="1" customWidth="1"/>
    <col min="7" max="7" width="9.6640625" style="4" bestFit="1" customWidth="1"/>
    <col min="8" max="8" width="3.109375" style="4" bestFit="1" customWidth="1"/>
    <col min="9" max="16384" width="8.88671875" style="4"/>
  </cols>
  <sheetData>
    <row r="1" spans="1:8" s="2" customFormat="1" x14ac:dyDescent="0.3">
      <c r="A1" s="2" t="s">
        <v>3</v>
      </c>
      <c r="B1" s="2" t="s">
        <v>283</v>
      </c>
      <c r="C1" s="2" t="s">
        <v>282</v>
      </c>
      <c r="D1" s="2" t="s">
        <v>337</v>
      </c>
      <c r="E1" s="2" t="s">
        <v>341</v>
      </c>
      <c r="F1" s="2" t="s">
        <v>272</v>
      </c>
      <c r="G1" s="2" t="s">
        <v>297</v>
      </c>
      <c r="H1" s="2" t="s">
        <v>298</v>
      </c>
    </row>
    <row r="2" spans="1:8" x14ac:dyDescent="0.3">
      <c r="A2" s="4" t="s">
        <v>294</v>
      </c>
      <c r="B2" s="4">
        <f t="shared" ref="B2:B43" si="0">IF(ISNUMBER(B1),B1+1,1)</f>
        <v>1</v>
      </c>
      <c r="C2" s="4" t="s">
        <v>267</v>
      </c>
      <c r="D2" s="4">
        <f>users!B2</f>
        <v>1</v>
      </c>
      <c r="E2" s="4">
        <f>VLOOKUP(C2,roles!C:E,3,FALSE)</f>
        <v>2</v>
      </c>
      <c r="F2" s="4" t="str">
        <f>"'"&amp;TEXT("2017-01-01","YYYY-MM-DD")</f>
        <v>'2017-01-01</v>
      </c>
      <c r="G2" s="4" t="s">
        <v>5</v>
      </c>
      <c r="H2" s="4">
        <f>B2</f>
        <v>1</v>
      </c>
    </row>
    <row r="3" spans="1:8" x14ac:dyDescent="0.3">
      <c r="A3" s="4" t="s">
        <v>294</v>
      </c>
      <c r="B3" s="4">
        <f t="shared" si="0"/>
        <v>2</v>
      </c>
      <c r="C3" s="4" t="s">
        <v>267</v>
      </c>
      <c r="D3" s="4">
        <f>users!B3</f>
        <v>2</v>
      </c>
      <c r="E3" s="4">
        <f>VLOOKUP(C3,roles!C:E,3,FALSE)</f>
        <v>2</v>
      </c>
      <c r="F3" s="4" t="str">
        <f t="shared" ref="F3:F43" si="1">"'"&amp;TEXT("2017-01-01","YYYY-MM-DD")</f>
        <v>'2017-01-01</v>
      </c>
      <c r="G3" s="4" t="s">
        <v>5</v>
      </c>
      <c r="H3" s="4">
        <f t="shared" ref="H3:H43" si="2">B3</f>
        <v>2</v>
      </c>
    </row>
    <row r="4" spans="1:8" x14ac:dyDescent="0.3">
      <c r="A4" s="4" t="s">
        <v>294</v>
      </c>
      <c r="B4" s="4">
        <f t="shared" si="0"/>
        <v>3</v>
      </c>
      <c r="C4" s="4" t="s">
        <v>265</v>
      </c>
      <c r="D4" s="4">
        <f>users!B4</f>
        <v>3</v>
      </c>
      <c r="E4" s="4">
        <f>VLOOKUP(C4,roles!C:E,3,FALSE)</f>
        <v>1</v>
      </c>
      <c r="F4" s="4" t="str">
        <f t="shared" si="1"/>
        <v>'2017-01-01</v>
      </c>
      <c r="G4" s="4" t="s">
        <v>5</v>
      </c>
      <c r="H4" s="4">
        <f t="shared" si="2"/>
        <v>3</v>
      </c>
    </row>
    <row r="5" spans="1:8" x14ac:dyDescent="0.3">
      <c r="A5" s="4" t="s">
        <v>294</v>
      </c>
      <c r="B5" s="4">
        <f t="shared" si="0"/>
        <v>4</v>
      </c>
      <c r="C5" s="4" t="s">
        <v>265</v>
      </c>
      <c r="D5" s="4">
        <f>users!B5</f>
        <v>4</v>
      </c>
      <c r="E5" s="4">
        <f>VLOOKUP(C5,roles!C:E,3,FALSE)</f>
        <v>1</v>
      </c>
      <c r="F5" s="4" t="str">
        <f t="shared" si="1"/>
        <v>'2017-01-01</v>
      </c>
      <c r="G5" s="4" t="s">
        <v>5</v>
      </c>
      <c r="H5" s="4">
        <f t="shared" si="2"/>
        <v>4</v>
      </c>
    </row>
    <row r="6" spans="1:8" x14ac:dyDescent="0.3">
      <c r="A6" s="4" t="s">
        <v>294</v>
      </c>
      <c r="B6" s="4">
        <f t="shared" si="0"/>
        <v>5</v>
      </c>
      <c r="C6" s="4" t="s">
        <v>265</v>
      </c>
      <c r="D6" s="4">
        <f>users!B6</f>
        <v>5</v>
      </c>
      <c r="E6" s="4">
        <f>VLOOKUP(C6,roles!C:E,3,FALSE)</f>
        <v>1</v>
      </c>
      <c r="F6" s="4" t="str">
        <f t="shared" si="1"/>
        <v>'2017-01-01</v>
      </c>
      <c r="G6" s="4" t="s">
        <v>5</v>
      </c>
      <c r="H6" s="4">
        <f t="shared" si="2"/>
        <v>5</v>
      </c>
    </row>
    <row r="7" spans="1:8" x14ac:dyDescent="0.3">
      <c r="A7" s="4" t="s">
        <v>294</v>
      </c>
      <c r="B7" s="4">
        <f t="shared" si="0"/>
        <v>6</v>
      </c>
      <c r="C7" s="4" t="s">
        <v>265</v>
      </c>
      <c r="D7" s="4">
        <f>users!B7</f>
        <v>6</v>
      </c>
      <c r="E7" s="4">
        <f>VLOOKUP(C7,roles!C:E,3,FALSE)</f>
        <v>1</v>
      </c>
      <c r="F7" s="4" t="str">
        <f t="shared" si="1"/>
        <v>'2017-01-01</v>
      </c>
      <c r="G7" s="4" t="s">
        <v>5</v>
      </c>
      <c r="H7" s="4">
        <f t="shared" si="2"/>
        <v>6</v>
      </c>
    </row>
    <row r="8" spans="1:8" x14ac:dyDescent="0.3">
      <c r="A8" s="4" t="s">
        <v>294</v>
      </c>
      <c r="B8" s="4">
        <f t="shared" si="0"/>
        <v>7</v>
      </c>
      <c r="C8" s="4" t="s">
        <v>265</v>
      </c>
      <c r="D8" s="4">
        <f>users!B8</f>
        <v>7</v>
      </c>
      <c r="E8" s="4">
        <f>VLOOKUP(C8,roles!C:E,3,FALSE)</f>
        <v>1</v>
      </c>
      <c r="F8" s="4" t="str">
        <f t="shared" si="1"/>
        <v>'2017-01-01</v>
      </c>
      <c r="G8" s="4" t="s">
        <v>5</v>
      </c>
      <c r="H8" s="4">
        <f t="shared" si="2"/>
        <v>7</v>
      </c>
    </row>
    <row r="9" spans="1:8" x14ac:dyDescent="0.3">
      <c r="A9" s="4" t="s">
        <v>294</v>
      </c>
      <c r="B9" s="4">
        <f t="shared" si="0"/>
        <v>8</v>
      </c>
      <c r="C9" s="4" t="s">
        <v>265</v>
      </c>
      <c r="D9" s="4">
        <f>users!B9</f>
        <v>8</v>
      </c>
      <c r="E9" s="4">
        <f>VLOOKUP(C9,roles!C:E,3,FALSE)</f>
        <v>1</v>
      </c>
      <c r="F9" s="4" t="str">
        <f t="shared" si="1"/>
        <v>'2017-01-01</v>
      </c>
      <c r="G9" s="4" t="s">
        <v>5</v>
      </c>
      <c r="H9" s="4">
        <f t="shared" si="2"/>
        <v>8</v>
      </c>
    </row>
    <row r="10" spans="1:8" x14ac:dyDescent="0.3">
      <c r="A10" s="4" t="s">
        <v>294</v>
      </c>
      <c r="B10" s="4">
        <f t="shared" si="0"/>
        <v>9</v>
      </c>
      <c r="C10" s="4" t="s">
        <v>265</v>
      </c>
      <c r="D10" s="4">
        <f>users!B10</f>
        <v>9</v>
      </c>
      <c r="E10" s="4">
        <f>VLOOKUP(C10,roles!C:E,3,FALSE)</f>
        <v>1</v>
      </c>
      <c r="F10" s="4" t="str">
        <f t="shared" si="1"/>
        <v>'2017-01-01</v>
      </c>
      <c r="G10" s="4" t="s">
        <v>5</v>
      </c>
      <c r="H10" s="4">
        <f t="shared" si="2"/>
        <v>9</v>
      </c>
    </row>
    <row r="11" spans="1:8" x14ac:dyDescent="0.3">
      <c r="A11" s="4" t="s">
        <v>294</v>
      </c>
      <c r="B11" s="4">
        <f t="shared" si="0"/>
        <v>10</v>
      </c>
      <c r="C11" s="4" t="s">
        <v>265</v>
      </c>
      <c r="D11" s="4">
        <f>users!B11</f>
        <v>10</v>
      </c>
      <c r="E11" s="4">
        <f>VLOOKUP(C11,roles!C:E,3,FALSE)</f>
        <v>1</v>
      </c>
      <c r="F11" s="4" t="str">
        <f t="shared" si="1"/>
        <v>'2017-01-01</v>
      </c>
      <c r="G11" s="4" t="s">
        <v>5</v>
      </c>
      <c r="H11" s="4">
        <f t="shared" si="2"/>
        <v>10</v>
      </c>
    </row>
    <row r="12" spans="1:8" x14ac:dyDescent="0.3">
      <c r="A12" s="4" t="s">
        <v>294</v>
      </c>
      <c r="B12" s="4">
        <f t="shared" si="0"/>
        <v>11</v>
      </c>
      <c r="C12" s="4" t="s">
        <v>265</v>
      </c>
      <c r="D12" s="4">
        <f>users!B12</f>
        <v>11</v>
      </c>
      <c r="E12" s="4">
        <f>VLOOKUP(C12,roles!C:E,3,FALSE)</f>
        <v>1</v>
      </c>
      <c r="F12" s="4" t="str">
        <f t="shared" si="1"/>
        <v>'2017-01-01</v>
      </c>
      <c r="G12" s="4" t="s">
        <v>5</v>
      </c>
      <c r="H12" s="4">
        <f t="shared" si="2"/>
        <v>11</v>
      </c>
    </row>
    <row r="13" spans="1:8" x14ac:dyDescent="0.3">
      <c r="A13" s="4" t="s">
        <v>294</v>
      </c>
      <c r="B13" s="4">
        <f t="shared" si="0"/>
        <v>12</v>
      </c>
      <c r="C13" s="4" t="s">
        <v>265</v>
      </c>
      <c r="D13" s="4">
        <f>users!B13</f>
        <v>12</v>
      </c>
      <c r="E13" s="4">
        <f>VLOOKUP(C13,roles!C:E,3,FALSE)</f>
        <v>1</v>
      </c>
      <c r="F13" s="4" t="str">
        <f t="shared" si="1"/>
        <v>'2017-01-01</v>
      </c>
      <c r="G13" s="4" t="s">
        <v>5</v>
      </c>
      <c r="H13" s="4">
        <f t="shared" si="2"/>
        <v>12</v>
      </c>
    </row>
    <row r="14" spans="1:8" x14ac:dyDescent="0.3">
      <c r="A14" s="4" t="s">
        <v>294</v>
      </c>
      <c r="B14" s="4">
        <f t="shared" si="0"/>
        <v>13</v>
      </c>
      <c r="C14" s="4" t="s">
        <v>265</v>
      </c>
      <c r="D14" s="4">
        <f>users!B14</f>
        <v>13</v>
      </c>
      <c r="E14" s="4">
        <f>VLOOKUP(C14,roles!C:E,3,FALSE)</f>
        <v>1</v>
      </c>
      <c r="F14" s="4" t="str">
        <f t="shared" si="1"/>
        <v>'2017-01-01</v>
      </c>
      <c r="G14" s="4" t="s">
        <v>5</v>
      </c>
      <c r="H14" s="4">
        <f t="shared" si="2"/>
        <v>13</v>
      </c>
    </row>
    <row r="15" spans="1:8" x14ac:dyDescent="0.3">
      <c r="A15" s="4" t="s">
        <v>294</v>
      </c>
      <c r="B15" s="4">
        <f t="shared" si="0"/>
        <v>14</v>
      </c>
      <c r="C15" s="4" t="s">
        <v>265</v>
      </c>
      <c r="D15" s="4">
        <f>users!B15</f>
        <v>14</v>
      </c>
      <c r="E15" s="4">
        <f>VLOOKUP(C15,roles!C:E,3,FALSE)</f>
        <v>1</v>
      </c>
      <c r="F15" s="4" t="str">
        <f t="shared" si="1"/>
        <v>'2017-01-01</v>
      </c>
      <c r="G15" s="4" t="s">
        <v>5</v>
      </c>
      <c r="H15" s="4">
        <f t="shared" si="2"/>
        <v>14</v>
      </c>
    </row>
    <row r="16" spans="1:8" x14ac:dyDescent="0.3">
      <c r="A16" s="4" t="s">
        <v>294</v>
      </c>
      <c r="B16" s="4">
        <f t="shared" si="0"/>
        <v>15</v>
      </c>
      <c r="C16" s="4" t="s">
        <v>265</v>
      </c>
      <c r="D16" s="4">
        <f>users!B16</f>
        <v>15</v>
      </c>
      <c r="E16" s="4">
        <f>VLOOKUP(C16,roles!C:E,3,FALSE)</f>
        <v>1</v>
      </c>
      <c r="F16" s="4" t="str">
        <f t="shared" si="1"/>
        <v>'2017-01-01</v>
      </c>
      <c r="G16" s="4" t="s">
        <v>5</v>
      </c>
      <c r="H16" s="4">
        <f t="shared" si="2"/>
        <v>15</v>
      </c>
    </row>
    <row r="17" spans="1:8" x14ac:dyDescent="0.3">
      <c r="A17" s="4" t="s">
        <v>294</v>
      </c>
      <c r="B17" s="4">
        <f t="shared" si="0"/>
        <v>16</v>
      </c>
      <c r="C17" s="4" t="s">
        <v>265</v>
      </c>
      <c r="D17" s="4">
        <f>users!B17</f>
        <v>16</v>
      </c>
      <c r="E17" s="4">
        <f>VLOOKUP(C17,roles!C:E,3,FALSE)</f>
        <v>1</v>
      </c>
      <c r="F17" s="4" t="str">
        <f t="shared" si="1"/>
        <v>'2017-01-01</v>
      </c>
      <c r="G17" s="4" t="s">
        <v>5</v>
      </c>
      <c r="H17" s="4">
        <f t="shared" si="2"/>
        <v>16</v>
      </c>
    </row>
    <row r="18" spans="1:8" x14ac:dyDescent="0.3">
      <c r="A18" s="4" t="s">
        <v>294</v>
      </c>
      <c r="B18" s="4">
        <f t="shared" si="0"/>
        <v>17</v>
      </c>
      <c r="C18" s="4" t="s">
        <v>265</v>
      </c>
      <c r="D18" s="4">
        <f>users!B18</f>
        <v>17</v>
      </c>
      <c r="E18" s="4">
        <f>VLOOKUP(C18,roles!C:E,3,FALSE)</f>
        <v>1</v>
      </c>
      <c r="F18" s="4" t="str">
        <f t="shared" si="1"/>
        <v>'2017-01-01</v>
      </c>
      <c r="G18" s="4" t="s">
        <v>5</v>
      </c>
      <c r="H18" s="4">
        <f t="shared" si="2"/>
        <v>17</v>
      </c>
    </row>
    <row r="19" spans="1:8" x14ac:dyDescent="0.3">
      <c r="A19" s="4" t="s">
        <v>294</v>
      </c>
      <c r="B19" s="4">
        <f t="shared" si="0"/>
        <v>18</v>
      </c>
      <c r="C19" s="4" t="s">
        <v>265</v>
      </c>
      <c r="D19" s="4">
        <f>users!B19</f>
        <v>18</v>
      </c>
      <c r="E19" s="4">
        <f>VLOOKUP(C19,roles!C:E,3,FALSE)</f>
        <v>1</v>
      </c>
      <c r="F19" s="4" t="str">
        <f t="shared" si="1"/>
        <v>'2017-01-01</v>
      </c>
      <c r="G19" s="4" t="s">
        <v>5</v>
      </c>
      <c r="H19" s="4">
        <f t="shared" si="2"/>
        <v>18</v>
      </c>
    </row>
    <row r="20" spans="1:8" x14ac:dyDescent="0.3">
      <c r="A20" s="4" t="s">
        <v>294</v>
      </c>
      <c r="B20" s="4">
        <f t="shared" si="0"/>
        <v>19</v>
      </c>
      <c r="C20" s="4" t="s">
        <v>265</v>
      </c>
      <c r="D20" s="4">
        <f>users!B20</f>
        <v>19</v>
      </c>
      <c r="E20" s="4">
        <f>VLOOKUP(C20,roles!C:E,3,FALSE)</f>
        <v>1</v>
      </c>
      <c r="F20" s="4" t="str">
        <f t="shared" si="1"/>
        <v>'2017-01-01</v>
      </c>
      <c r="G20" s="4" t="s">
        <v>5</v>
      </c>
      <c r="H20" s="4">
        <f t="shared" si="2"/>
        <v>19</v>
      </c>
    </row>
    <row r="21" spans="1:8" x14ac:dyDescent="0.3">
      <c r="A21" s="4" t="s">
        <v>294</v>
      </c>
      <c r="B21" s="4">
        <f t="shared" si="0"/>
        <v>20</v>
      </c>
      <c r="C21" s="4" t="s">
        <v>265</v>
      </c>
      <c r="D21" s="4">
        <f>users!B21</f>
        <v>20</v>
      </c>
      <c r="E21" s="4">
        <f>VLOOKUP(C21,roles!C:E,3,FALSE)</f>
        <v>1</v>
      </c>
      <c r="F21" s="4" t="str">
        <f t="shared" si="1"/>
        <v>'2017-01-01</v>
      </c>
      <c r="G21" s="4" t="s">
        <v>5</v>
      </c>
      <c r="H21" s="4">
        <f t="shared" si="2"/>
        <v>20</v>
      </c>
    </row>
    <row r="22" spans="1:8" x14ac:dyDescent="0.3">
      <c r="A22" s="4" t="s">
        <v>294</v>
      </c>
      <c r="B22" s="4">
        <f t="shared" si="0"/>
        <v>21</v>
      </c>
      <c r="C22" s="4" t="s">
        <v>265</v>
      </c>
      <c r="D22" s="4">
        <f>users!B22</f>
        <v>21</v>
      </c>
      <c r="E22" s="4">
        <f>VLOOKUP(C22,roles!C:E,3,FALSE)</f>
        <v>1</v>
      </c>
      <c r="F22" s="4" t="str">
        <f t="shared" si="1"/>
        <v>'2017-01-01</v>
      </c>
      <c r="G22" s="4" t="s">
        <v>5</v>
      </c>
      <c r="H22" s="4">
        <f t="shared" si="2"/>
        <v>21</v>
      </c>
    </row>
    <row r="23" spans="1:8" x14ac:dyDescent="0.3">
      <c r="A23" s="4" t="s">
        <v>294</v>
      </c>
      <c r="B23" s="4">
        <f t="shared" si="0"/>
        <v>22</v>
      </c>
      <c r="C23" s="4" t="s">
        <v>265</v>
      </c>
      <c r="D23" s="4">
        <f>users!B23</f>
        <v>22</v>
      </c>
      <c r="E23" s="4">
        <f>VLOOKUP(C23,roles!C:E,3,FALSE)</f>
        <v>1</v>
      </c>
      <c r="F23" s="4" t="str">
        <f t="shared" si="1"/>
        <v>'2017-01-01</v>
      </c>
      <c r="G23" s="4" t="s">
        <v>5</v>
      </c>
      <c r="H23" s="4">
        <f t="shared" si="2"/>
        <v>22</v>
      </c>
    </row>
    <row r="24" spans="1:8" x14ac:dyDescent="0.3">
      <c r="A24" s="4" t="s">
        <v>294</v>
      </c>
      <c r="B24" s="4">
        <f t="shared" si="0"/>
        <v>23</v>
      </c>
      <c r="C24" s="4" t="s">
        <v>265</v>
      </c>
      <c r="D24" s="4">
        <f>users!B24</f>
        <v>23</v>
      </c>
      <c r="E24" s="4">
        <f>VLOOKUP(C24,roles!C:E,3,FALSE)</f>
        <v>1</v>
      </c>
      <c r="F24" s="4" t="str">
        <f t="shared" si="1"/>
        <v>'2017-01-01</v>
      </c>
      <c r="G24" s="4" t="s">
        <v>5</v>
      </c>
      <c r="H24" s="4">
        <f t="shared" si="2"/>
        <v>23</v>
      </c>
    </row>
    <row r="25" spans="1:8" x14ac:dyDescent="0.3">
      <c r="A25" s="4" t="s">
        <v>294</v>
      </c>
      <c r="B25" s="4">
        <f t="shared" si="0"/>
        <v>24</v>
      </c>
      <c r="C25" s="4" t="s">
        <v>265</v>
      </c>
      <c r="D25" s="4">
        <f>users!B25</f>
        <v>24</v>
      </c>
      <c r="E25" s="4">
        <f>VLOOKUP(C25,roles!C:E,3,FALSE)</f>
        <v>1</v>
      </c>
      <c r="F25" s="4" t="str">
        <f t="shared" si="1"/>
        <v>'2017-01-01</v>
      </c>
      <c r="G25" s="4" t="s">
        <v>5</v>
      </c>
      <c r="H25" s="4">
        <f t="shared" si="2"/>
        <v>24</v>
      </c>
    </row>
    <row r="26" spans="1:8" x14ac:dyDescent="0.3">
      <c r="A26" s="4" t="s">
        <v>294</v>
      </c>
      <c r="B26" s="4">
        <f t="shared" si="0"/>
        <v>25</v>
      </c>
      <c r="C26" s="4" t="s">
        <v>265</v>
      </c>
      <c r="D26" s="4">
        <f>users!B26</f>
        <v>25</v>
      </c>
      <c r="E26" s="4">
        <f>VLOOKUP(C26,roles!C:E,3,FALSE)</f>
        <v>1</v>
      </c>
      <c r="F26" s="4" t="str">
        <f t="shared" si="1"/>
        <v>'2017-01-01</v>
      </c>
      <c r="G26" s="4" t="s">
        <v>5</v>
      </c>
      <c r="H26" s="4">
        <f t="shared" si="2"/>
        <v>25</v>
      </c>
    </row>
    <row r="27" spans="1:8" x14ac:dyDescent="0.3">
      <c r="A27" s="4" t="s">
        <v>294</v>
      </c>
      <c r="B27" s="4">
        <f t="shared" si="0"/>
        <v>26</v>
      </c>
      <c r="C27" s="4" t="s">
        <v>265</v>
      </c>
      <c r="D27" s="4">
        <f>users!B27</f>
        <v>26</v>
      </c>
      <c r="E27" s="4">
        <f>VLOOKUP(C27,roles!C:E,3,FALSE)</f>
        <v>1</v>
      </c>
      <c r="F27" s="4" t="str">
        <f t="shared" si="1"/>
        <v>'2017-01-01</v>
      </c>
      <c r="G27" s="4" t="s">
        <v>5</v>
      </c>
      <c r="H27" s="4">
        <f t="shared" si="2"/>
        <v>26</v>
      </c>
    </row>
    <row r="28" spans="1:8" x14ac:dyDescent="0.3">
      <c r="A28" s="4" t="s">
        <v>294</v>
      </c>
      <c r="B28" s="4">
        <f t="shared" si="0"/>
        <v>27</v>
      </c>
      <c r="C28" s="4" t="s">
        <v>265</v>
      </c>
      <c r="D28" s="4">
        <f>users!B28</f>
        <v>27</v>
      </c>
      <c r="E28" s="4">
        <f>VLOOKUP(C28,roles!C:E,3,FALSE)</f>
        <v>1</v>
      </c>
      <c r="F28" s="4" t="str">
        <f t="shared" si="1"/>
        <v>'2017-01-01</v>
      </c>
      <c r="G28" s="4" t="s">
        <v>5</v>
      </c>
      <c r="H28" s="4">
        <f t="shared" si="2"/>
        <v>27</v>
      </c>
    </row>
    <row r="29" spans="1:8" x14ac:dyDescent="0.3">
      <c r="A29" s="4" t="s">
        <v>294</v>
      </c>
      <c r="B29" s="4">
        <f t="shared" si="0"/>
        <v>28</v>
      </c>
      <c r="C29" s="4" t="s">
        <v>265</v>
      </c>
      <c r="D29" s="4">
        <f>users!B29</f>
        <v>28</v>
      </c>
      <c r="E29" s="4">
        <f>VLOOKUP(C29,roles!C:E,3,FALSE)</f>
        <v>1</v>
      </c>
      <c r="F29" s="4" t="str">
        <f t="shared" si="1"/>
        <v>'2017-01-01</v>
      </c>
      <c r="G29" s="4" t="s">
        <v>5</v>
      </c>
      <c r="H29" s="4">
        <f t="shared" si="2"/>
        <v>28</v>
      </c>
    </row>
    <row r="30" spans="1:8" x14ac:dyDescent="0.3">
      <c r="A30" s="4" t="s">
        <v>294</v>
      </c>
      <c r="B30" s="4">
        <f t="shared" si="0"/>
        <v>29</v>
      </c>
      <c r="C30" s="4" t="s">
        <v>265</v>
      </c>
      <c r="D30" s="4">
        <f>users!B30</f>
        <v>29</v>
      </c>
      <c r="E30" s="4">
        <f>VLOOKUP(C30,roles!C:E,3,FALSE)</f>
        <v>1</v>
      </c>
      <c r="F30" s="4" t="str">
        <f t="shared" si="1"/>
        <v>'2017-01-01</v>
      </c>
      <c r="G30" s="4" t="s">
        <v>5</v>
      </c>
      <c r="H30" s="4">
        <f t="shared" si="2"/>
        <v>29</v>
      </c>
    </row>
    <row r="31" spans="1:8" x14ac:dyDescent="0.3">
      <c r="A31" s="4" t="s">
        <v>294</v>
      </c>
      <c r="B31" s="4">
        <f t="shared" si="0"/>
        <v>30</v>
      </c>
      <c r="C31" s="4" t="s">
        <v>265</v>
      </c>
      <c r="D31" s="4">
        <f>users!B31</f>
        <v>30</v>
      </c>
      <c r="E31" s="4">
        <f>VLOOKUP(C31,roles!C:E,3,FALSE)</f>
        <v>1</v>
      </c>
      <c r="F31" s="4" t="str">
        <f t="shared" si="1"/>
        <v>'2017-01-01</v>
      </c>
      <c r="G31" s="4" t="s">
        <v>5</v>
      </c>
      <c r="H31" s="4">
        <f t="shared" si="2"/>
        <v>30</v>
      </c>
    </row>
    <row r="32" spans="1:8" x14ac:dyDescent="0.3">
      <c r="A32" s="4" t="s">
        <v>294</v>
      </c>
      <c r="B32" s="4">
        <f t="shared" si="0"/>
        <v>31</v>
      </c>
      <c r="C32" s="4" t="s">
        <v>265</v>
      </c>
      <c r="D32" s="4">
        <f>users!B32</f>
        <v>31</v>
      </c>
      <c r="E32" s="4">
        <f>VLOOKUP(C32,roles!C:E,3,FALSE)</f>
        <v>1</v>
      </c>
      <c r="F32" s="4" t="str">
        <f t="shared" si="1"/>
        <v>'2017-01-01</v>
      </c>
      <c r="G32" s="4" t="s">
        <v>5</v>
      </c>
      <c r="H32" s="4">
        <f t="shared" si="2"/>
        <v>31</v>
      </c>
    </row>
    <row r="33" spans="1:8" x14ac:dyDescent="0.3">
      <c r="A33" s="4" t="s">
        <v>294</v>
      </c>
      <c r="B33" s="4">
        <f t="shared" si="0"/>
        <v>32</v>
      </c>
      <c r="C33" s="4" t="s">
        <v>265</v>
      </c>
      <c r="D33" s="4">
        <f>users!B33</f>
        <v>32</v>
      </c>
      <c r="E33" s="4">
        <f>VLOOKUP(C33,roles!C:E,3,FALSE)</f>
        <v>1</v>
      </c>
      <c r="F33" s="4" t="str">
        <f t="shared" si="1"/>
        <v>'2017-01-01</v>
      </c>
      <c r="G33" s="4" t="s">
        <v>5</v>
      </c>
      <c r="H33" s="4">
        <f t="shared" si="2"/>
        <v>32</v>
      </c>
    </row>
    <row r="34" spans="1:8" x14ac:dyDescent="0.3">
      <c r="A34" s="4" t="s">
        <v>294</v>
      </c>
      <c r="B34" s="4">
        <f t="shared" si="0"/>
        <v>33</v>
      </c>
      <c r="C34" s="4" t="s">
        <v>265</v>
      </c>
      <c r="D34" s="4">
        <f>users!B34</f>
        <v>33</v>
      </c>
      <c r="E34" s="4">
        <f>VLOOKUP(C34,roles!C:E,3,FALSE)</f>
        <v>1</v>
      </c>
      <c r="F34" s="4" t="str">
        <f t="shared" si="1"/>
        <v>'2017-01-01</v>
      </c>
      <c r="G34" s="4" t="s">
        <v>5</v>
      </c>
      <c r="H34" s="4">
        <f t="shared" si="2"/>
        <v>33</v>
      </c>
    </row>
    <row r="35" spans="1:8" x14ac:dyDescent="0.3">
      <c r="A35" s="4" t="s">
        <v>294</v>
      </c>
      <c r="B35" s="4">
        <f t="shared" si="0"/>
        <v>34</v>
      </c>
      <c r="C35" s="4" t="s">
        <v>265</v>
      </c>
      <c r="D35" s="4">
        <f>users!B35</f>
        <v>34</v>
      </c>
      <c r="E35" s="4">
        <f>VLOOKUP(C35,roles!C:E,3,FALSE)</f>
        <v>1</v>
      </c>
      <c r="F35" s="4" t="str">
        <f t="shared" si="1"/>
        <v>'2017-01-01</v>
      </c>
      <c r="G35" s="4" t="s">
        <v>5</v>
      </c>
      <c r="H35" s="4">
        <f t="shared" si="2"/>
        <v>34</v>
      </c>
    </row>
    <row r="36" spans="1:8" x14ac:dyDescent="0.3">
      <c r="A36" s="4" t="s">
        <v>294</v>
      </c>
      <c r="B36" s="4">
        <f t="shared" si="0"/>
        <v>35</v>
      </c>
      <c r="C36" s="4" t="s">
        <v>265</v>
      </c>
      <c r="D36" s="4">
        <f>users!B36</f>
        <v>35</v>
      </c>
      <c r="E36" s="4">
        <f>VLOOKUP(C36,roles!C:E,3,FALSE)</f>
        <v>1</v>
      </c>
      <c r="F36" s="4" t="str">
        <f t="shared" si="1"/>
        <v>'2017-01-01</v>
      </c>
      <c r="G36" s="4" t="s">
        <v>5</v>
      </c>
      <c r="H36" s="4">
        <f t="shared" si="2"/>
        <v>35</v>
      </c>
    </row>
    <row r="37" spans="1:8" x14ac:dyDescent="0.3">
      <c r="A37" s="4" t="s">
        <v>294</v>
      </c>
      <c r="B37" s="4">
        <f t="shared" si="0"/>
        <v>36</v>
      </c>
      <c r="C37" s="4" t="s">
        <v>265</v>
      </c>
      <c r="D37" s="4">
        <f>users!B37</f>
        <v>36</v>
      </c>
      <c r="E37" s="4">
        <f>VLOOKUP(C37,roles!C:E,3,FALSE)</f>
        <v>1</v>
      </c>
      <c r="F37" s="4" t="str">
        <f t="shared" si="1"/>
        <v>'2017-01-01</v>
      </c>
      <c r="G37" s="4" t="s">
        <v>5</v>
      </c>
      <c r="H37" s="4">
        <f t="shared" si="2"/>
        <v>36</v>
      </c>
    </row>
    <row r="38" spans="1:8" x14ac:dyDescent="0.3">
      <c r="A38" s="4" t="s">
        <v>294</v>
      </c>
      <c r="B38" s="4">
        <f t="shared" si="0"/>
        <v>37</v>
      </c>
      <c r="C38" s="4" t="s">
        <v>265</v>
      </c>
      <c r="D38" s="4">
        <f>users!B38</f>
        <v>37</v>
      </c>
      <c r="E38" s="4">
        <f>VLOOKUP(C38,roles!C:E,3,FALSE)</f>
        <v>1</v>
      </c>
      <c r="F38" s="4" t="str">
        <f t="shared" si="1"/>
        <v>'2017-01-01</v>
      </c>
      <c r="G38" s="4" t="s">
        <v>5</v>
      </c>
      <c r="H38" s="4">
        <f t="shared" si="2"/>
        <v>37</v>
      </c>
    </row>
    <row r="39" spans="1:8" x14ac:dyDescent="0.3">
      <c r="A39" s="4" t="s">
        <v>294</v>
      </c>
      <c r="B39" s="4">
        <f t="shared" si="0"/>
        <v>38</v>
      </c>
      <c r="C39" s="4" t="s">
        <v>265</v>
      </c>
      <c r="D39" s="4">
        <f>users!B39</f>
        <v>38</v>
      </c>
      <c r="E39" s="4">
        <f>VLOOKUP(C39,roles!C:E,3,FALSE)</f>
        <v>1</v>
      </c>
      <c r="F39" s="4" t="str">
        <f t="shared" si="1"/>
        <v>'2017-01-01</v>
      </c>
      <c r="G39" s="4" t="s">
        <v>5</v>
      </c>
      <c r="H39" s="4">
        <f t="shared" si="2"/>
        <v>38</v>
      </c>
    </row>
    <row r="40" spans="1:8" x14ac:dyDescent="0.3">
      <c r="A40" s="4" t="s">
        <v>294</v>
      </c>
      <c r="B40" s="4">
        <f t="shared" si="0"/>
        <v>39</v>
      </c>
      <c r="C40" s="4" t="s">
        <v>265</v>
      </c>
      <c r="D40" s="4">
        <f>users!B40</f>
        <v>39</v>
      </c>
      <c r="E40" s="4">
        <f>VLOOKUP(C40,roles!C:E,3,FALSE)</f>
        <v>1</v>
      </c>
      <c r="F40" s="4" t="str">
        <f t="shared" si="1"/>
        <v>'2017-01-01</v>
      </c>
      <c r="G40" s="4" t="s">
        <v>5</v>
      </c>
      <c r="H40" s="4">
        <f t="shared" si="2"/>
        <v>39</v>
      </c>
    </row>
    <row r="41" spans="1:8" x14ac:dyDescent="0.3">
      <c r="A41" s="4" t="s">
        <v>295</v>
      </c>
      <c r="B41" s="4">
        <f t="shared" si="0"/>
        <v>40</v>
      </c>
      <c r="C41" s="4" t="s">
        <v>265</v>
      </c>
      <c r="D41" s="4">
        <f>users!B41</f>
        <v>0</v>
      </c>
      <c r="E41" s="4">
        <f>VLOOKUP(C41,roles!C:E,3,FALSE)</f>
        <v>1</v>
      </c>
      <c r="F41" s="4" t="str">
        <f t="shared" si="1"/>
        <v>'2017-01-01</v>
      </c>
      <c r="G41" s="4" t="s">
        <v>5</v>
      </c>
      <c r="H41" s="4">
        <f t="shared" si="2"/>
        <v>40</v>
      </c>
    </row>
    <row r="42" spans="1:8" x14ac:dyDescent="0.3">
      <c r="A42" s="4" t="s">
        <v>295</v>
      </c>
      <c r="B42" s="4">
        <f t="shared" si="0"/>
        <v>41</v>
      </c>
      <c r="C42" s="4" t="s">
        <v>265</v>
      </c>
      <c r="D42" s="4">
        <f>users!B42</f>
        <v>0</v>
      </c>
      <c r="E42" s="4">
        <f>VLOOKUP(C42,roles!C:E,3,FALSE)</f>
        <v>1</v>
      </c>
      <c r="F42" s="4" t="str">
        <f t="shared" si="1"/>
        <v>'2017-01-01</v>
      </c>
      <c r="G42" s="4" t="s">
        <v>5</v>
      </c>
      <c r="H42" s="4">
        <f t="shared" si="2"/>
        <v>41</v>
      </c>
    </row>
    <row r="43" spans="1:8" x14ac:dyDescent="0.3">
      <c r="A43" s="4" t="s">
        <v>295</v>
      </c>
      <c r="B43" s="4">
        <f t="shared" si="0"/>
        <v>42</v>
      </c>
      <c r="C43" s="4" t="s">
        <v>265</v>
      </c>
      <c r="D43" s="4">
        <f>users!B43</f>
        <v>0</v>
      </c>
      <c r="E43" s="4">
        <f>VLOOKUP(C43,roles!C:E,3,FALSE)</f>
        <v>1</v>
      </c>
      <c r="F43" s="4" t="str">
        <f t="shared" si="1"/>
        <v>'2017-01-01</v>
      </c>
      <c r="G43" s="4" t="s">
        <v>5</v>
      </c>
      <c r="H43" s="4">
        <f t="shared" si="2"/>
        <v>42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F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6" bestFit="1" customWidth="1"/>
    <col min="2" max="2" width="2.5546875" bestFit="1" customWidth="1"/>
    <col min="3" max="3" width="23.44140625" bestFit="1" customWidth="1"/>
    <col min="4" max="4" width="19.109375" bestFit="1" customWidth="1"/>
    <col min="5" max="5" width="132.6640625" bestFit="1" customWidth="1"/>
    <col min="6" max="6" width="3.33203125" bestFit="1" customWidth="1"/>
  </cols>
  <sheetData>
    <row r="1" spans="1:6" s="2" customFormat="1" x14ac:dyDescent="0.3">
      <c r="A1" s="2" t="s">
        <v>3</v>
      </c>
      <c r="B1" s="2" t="s">
        <v>283</v>
      </c>
      <c r="C1" s="2" t="s">
        <v>273</v>
      </c>
      <c r="D1" s="2" t="s">
        <v>4</v>
      </c>
      <c r="E1" s="2" t="s">
        <v>274</v>
      </c>
      <c r="F1" s="2" t="s">
        <v>298</v>
      </c>
    </row>
    <row r="2" spans="1:6" x14ac:dyDescent="0.3">
      <c r="A2" t="s">
        <v>264</v>
      </c>
      <c r="B2">
        <f t="shared" ref="B2:B5" si="0">IF(ISNUMBER(B1),B1+1,1)</f>
        <v>1</v>
      </c>
      <c r="C2" t="s">
        <v>287</v>
      </c>
      <c r="D2" t="s">
        <v>286</v>
      </c>
      <c r="E2" t="s">
        <v>266</v>
      </c>
      <c r="F2">
        <f>B2</f>
        <v>1</v>
      </c>
    </row>
    <row r="3" spans="1:6" x14ac:dyDescent="0.3">
      <c r="A3" t="s">
        <v>264</v>
      </c>
      <c r="B3">
        <f t="shared" si="0"/>
        <v>2</v>
      </c>
      <c r="C3" t="s">
        <v>288</v>
      </c>
      <c r="D3" t="s">
        <v>268</v>
      </c>
      <c r="E3" t="s">
        <v>269</v>
      </c>
      <c r="F3">
        <f t="shared" ref="F3:F5" si="1">B3</f>
        <v>2</v>
      </c>
    </row>
    <row r="4" spans="1:6" x14ac:dyDescent="0.3">
      <c r="A4" t="s">
        <v>264</v>
      </c>
      <c r="B4">
        <f t="shared" si="0"/>
        <v>3</v>
      </c>
      <c r="C4" t="s">
        <v>289</v>
      </c>
      <c r="D4" t="s">
        <v>286</v>
      </c>
      <c r="E4" t="s">
        <v>292</v>
      </c>
      <c r="F4">
        <f t="shared" si="1"/>
        <v>3</v>
      </c>
    </row>
    <row r="5" spans="1:6" x14ac:dyDescent="0.3">
      <c r="A5" t="s">
        <v>264</v>
      </c>
      <c r="B5">
        <f t="shared" si="0"/>
        <v>4</v>
      </c>
      <c r="C5" t="s">
        <v>290</v>
      </c>
      <c r="D5" t="s">
        <v>291</v>
      </c>
      <c r="E5" t="s">
        <v>293</v>
      </c>
      <c r="F5">
        <f t="shared" si="1"/>
        <v>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G6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4.33203125" bestFit="1" customWidth="1"/>
    <col min="2" max="2" width="2.6640625" bestFit="1" customWidth="1"/>
    <col min="3" max="3" width="6.88671875" bestFit="1" customWidth="1"/>
    <col min="4" max="4" width="24.88671875" bestFit="1" customWidth="1"/>
    <col min="5" max="5" width="6.33203125" bestFit="1" customWidth="1"/>
    <col min="6" max="6" width="12.5546875" bestFit="1" customWidth="1"/>
    <col min="7" max="7" width="2.6640625" bestFit="1" customWidth="1"/>
  </cols>
  <sheetData>
    <row r="1" spans="1:7" s="2" customFormat="1" x14ac:dyDescent="0.3">
      <c r="A1" s="2" t="s">
        <v>3</v>
      </c>
      <c r="B1" s="2" t="s">
        <v>283</v>
      </c>
      <c r="C1" s="2" t="s">
        <v>280</v>
      </c>
      <c r="D1" s="2" t="s">
        <v>281</v>
      </c>
      <c r="E1" s="2" t="s">
        <v>341</v>
      </c>
      <c r="F1" s="2" t="s">
        <v>345</v>
      </c>
      <c r="G1" s="2" t="s">
        <v>283</v>
      </c>
    </row>
    <row r="2" spans="1:7" x14ac:dyDescent="0.3">
      <c r="A2" t="s">
        <v>285</v>
      </c>
      <c r="B2">
        <f>IF(ISNUMBER(B1),B1+1,1)</f>
        <v>1</v>
      </c>
      <c r="C2" t="s">
        <v>265</v>
      </c>
      <c r="D2" t="s">
        <v>287</v>
      </c>
      <c r="E2">
        <f>VLOOKUP(C2,roles!C:E,3,FALSE)</f>
        <v>1</v>
      </c>
      <c r="F2" s="1">
        <f>VLOOKUP(D2,permissions!C:F,4,FALSE)</f>
        <v>1</v>
      </c>
      <c r="G2">
        <f>B2</f>
        <v>1</v>
      </c>
    </row>
    <row r="3" spans="1:7" x14ac:dyDescent="0.3">
      <c r="A3" t="s">
        <v>285</v>
      </c>
      <c r="B3">
        <f t="shared" ref="B3:B6" si="0">IF(ISNUMBER(B2),B2+1,1)</f>
        <v>2</v>
      </c>
      <c r="C3" t="s">
        <v>267</v>
      </c>
      <c r="D3" t="s">
        <v>287</v>
      </c>
      <c r="E3">
        <f>VLOOKUP(C3,roles!C:E,3,FALSE)</f>
        <v>2</v>
      </c>
      <c r="F3" s="1">
        <f>VLOOKUP(D3,permissions!C:F,4,FALSE)</f>
        <v>1</v>
      </c>
      <c r="G3">
        <f t="shared" ref="G3:G6" si="1">B3</f>
        <v>2</v>
      </c>
    </row>
    <row r="4" spans="1:7" x14ac:dyDescent="0.3">
      <c r="A4" t="s">
        <v>285</v>
      </c>
      <c r="B4">
        <f t="shared" si="0"/>
        <v>3</v>
      </c>
      <c r="C4" t="s">
        <v>267</v>
      </c>
      <c r="D4" t="s">
        <v>288</v>
      </c>
      <c r="E4">
        <f>VLOOKUP(C4,roles!C:E,3,FALSE)</f>
        <v>2</v>
      </c>
      <c r="F4" s="1">
        <f>VLOOKUP(D4,permissions!C:F,4,FALSE)</f>
        <v>2</v>
      </c>
      <c r="G4">
        <f t="shared" si="1"/>
        <v>3</v>
      </c>
    </row>
    <row r="5" spans="1:7" x14ac:dyDescent="0.3">
      <c r="A5" t="s">
        <v>285</v>
      </c>
      <c r="B5">
        <f t="shared" si="0"/>
        <v>4</v>
      </c>
      <c r="C5" t="s">
        <v>267</v>
      </c>
      <c r="D5" t="s">
        <v>289</v>
      </c>
      <c r="E5">
        <f>VLOOKUP(C5,roles!C:E,3,FALSE)</f>
        <v>2</v>
      </c>
      <c r="F5" s="1">
        <f>VLOOKUP(D5,permissions!C:F,4,FALSE)</f>
        <v>3</v>
      </c>
      <c r="G5">
        <f t="shared" si="1"/>
        <v>4</v>
      </c>
    </row>
    <row r="6" spans="1:7" x14ac:dyDescent="0.3">
      <c r="A6" t="s">
        <v>285</v>
      </c>
      <c r="B6">
        <f t="shared" si="0"/>
        <v>5</v>
      </c>
      <c r="C6" t="s">
        <v>267</v>
      </c>
      <c r="D6" t="s">
        <v>290</v>
      </c>
      <c r="E6">
        <f>VLOOKUP(C6,roles!C:E,3,FALSE)</f>
        <v>2</v>
      </c>
      <c r="F6" s="1">
        <f>VLOOKUP(D6,permissions!C:F,4,FALSE)</f>
        <v>4</v>
      </c>
      <c r="G6">
        <f t="shared" si="1"/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Names</vt:lpstr>
      <vt:lpstr>Restaurant Names</vt:lpstr>
      <vt:lpstr>Claims.csv</vt:lpstr>
      <vt:lpstr>Reg.csv</vt:lpstr>
      <vt:lpstr>Finance.csv</vt:lpstr>
      <vt:lpstr>Liquor.csv</vt:lpstr>
      <vt:lpstr>Health.csv</vt:lpstr>
      <vt:lpstr>City.csv</vt:lpstr>
      <vt:lpstr>Worksafe.csv</vt:lpstr>
      <vt:lpstr>VerifiableClaimType</vt:lpstr>
      <vt:lpstr>InactiveClaimReason.csv</vt:lpstr>
      <vt:lpstr>IssuerService</vt:lpstr>
      <vt:lpstr>Jurisdiction</vt:lpstr>
      <vt:lpstr>users</vt:lpstr>
      <vt:lpstr>roles</vt:lpstr>
      <vt:lpstr>userRole</vt:lpstr>
      <vt:lpstr>permissions</vt:lpstr>
      <vt:lpstr>rolepermission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2018-02-20T21:51:31Z</dcterms:modified>
</cp:coreProperties>
</file>