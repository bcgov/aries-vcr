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528" codeName="{B1203076-2D4D-A25B-A398-973B695A806A}"/>
  <workbookPr showInkAnnotation="0" codeName="ThisWorkbook" autoCompressPictures="0"/>
  <mc:AlternateContent xmlns:mc="http://schemas.openxmlformats.org/markup-compatibility/2006">
    <mc:Choice Requires="x15">
      <x15ac:absPath xmlns:x15ac="http://schemas.microsoft.com/office/spreadsheetml/2010/11/ac" url="C:\Users\swcur\repos\TheOrgBook\APISpec\in\"/>
    </mc:Choice>
  </mc:AlternateContent>
  <bookViews>
    <workbookView xWindow="-2664" yWindow="-23544" windowWidth="25704" windowHeight="21384" tabRatio="684" xr2:uid="{00000000-000D-0000-FFFF-FFFF00000000}"/>
  </bookViews>
  <sheets>
    <sheet name="defs.csv" sheetId="27" r:id="rId1"/>
    <sheet name="paths.csv" sheetId="30" r:id="rId2"/>
    <sheet name="model.csv" sheetId="29" r:id="rId3"/>
    <sheet name="api.csv" sheetId="31" r:id="rId4"/>
  </sheets>
  <functionGroups builtInGroupCount="19"/>
  <definedNames>
    <definedName name="_xlnm._FilterDatabase" localSheetId="1" hidden="1">paths.csv!$A$1:$H$16</definedName>
  </definedNames>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33" i="27" l="1"/>
  <c r="J33" i="27"/>
  <c r="K33" i="27"/>
  <c r="L33" i="27"/>
  <c r="M33" i="27"/>
  <c r="N33" i="27"/>
  <c r="O33" i="27"/>
  <c r="P33" i="27"/>
  <c r="Q33" i="27"/>
  <c r="R33" i="27"/>
  <c r="S33" i="27"/>
  <c r="T33" i="27"/>
  <c r="U33" i="27"/>
  <c r="V33" i="27"/>
  <c r="W33" i="27"/>
  <c r="Y33" i="27"/>
  <c r="I31" i="27"/>
  <c r="I32" i="27"/>
  <c r="I34" i="27"/>
  <c r="I35" i="27"/>
  <c r="J31" i="27"/>
  <c r="J32" i="27"/>
  <c r="J34" i="27"/>
  <c r="J35" i="27"/>
  <c r="K31" i="27"/>
  <c r="K32" i="27"/>
  <c r="K34" i="27"/>
  <c r="K35" i="27"/>
  <c r="L31" i="27"/>
  <c r="L32" i="27"/>
  <c r="L34" i="27"/>
  <c r="L35" i="27"/>
  <c r="M31" i="27"/>
  <c r="M32" i="27"/>
  <c r="M34" i="27"/>
  <c r="M35" i="27"/>
  <c r="N31" i="27"/>
  <c r="N32" i="27"/>
  <c r="N34" i="27"/>
  <c r="N35" i="27"/>
  <c r="O31" i="27"/>
  <c r="O32" i="27"/>
  <c r="O34" i="27"/>
  <c r="O35" i="27"/>
  <c r="P31" i="27"/>
  <c r="P32" i="27"/>
  <c r="P34" i="27"/>
  <c r="P35" i="27"/>
  <c r="Q31" i="27"/>
  <c r="Q32" i="27"/>
  <c r="Q34" i="27"/>
  <c r="Q35" i="27"/>
  <c r="R31" i="27"/>
  <c r="R32" i="27"/>
  <c r="R34" i="27"/>
  <c r="R35" i="27"/>
  <c r="S31" i="27"/>
  <c r="S32" i="27"/>
  <c r="S34" i="27"/>
  <c r="S35" i="27"/>
  <c r="T31" i="27"/>
  <c r="T32" i="27"/>
  <c r="T34" i="27"/>
  <c r="T35" i="27"/>
  <c r="U31" i="27"/>
  <c r="U32" i="27"/>
  <c r="U34" i="27"/>
  <c r="U35" i="27"/>
  <c r="V31" i="27"/>
  <c r="V32" i="27"/>
  <c r="V34" i="27"/>
  <c r="V35" i="27"/>
  <c r="W31" i="27"/>
  <c r="W32" i="27"/>
  <c r="W34" i="27"/>
  <c r="W35" i="27"/>
  <c r="Y31" i="27"/>
  <c r="Y32" i="27"/>
  <c r="Y34" i="27"/>
  <c r="Y35" i="27"/>
  <c r="D2" i="30"/>
  <c r="D3" i="30"/>
  <c r="D4" i="30"/>
  <c r="D5" i="30"/>
  <c r="D6" i="30"/>
  <c r="D7" i="30"/>
  <c r="D8" i="30"/>
  <c r="D9" i="30"/>
  <c r="D10" i="30"/>
  <c r="D11" i="30"/>
  <c r="D12" i="30"/>
  <c r="D13" i="30"/>
  <c r="D14" i="30"/>
  <c r="D15" i="30"/>
  <c r="D16" i="30"/>
  <c r="X31" i="27"/>
  <c r="X32" i="27"/>
  <c r="X34" i="27"/>
  <c r="X33" i="27"/>
  <c r="X35" i="27"/>
  <c r="I108" i="27" l="1"/>
  <c r="J108" i="27"/>
  <c r="K108" i="27"/>
  <c r="L108" i="27"/>
  <c r="M108" i="27"/>
  <c r="N108" i="27"/>
  <c r="O108" i="27"/>
  <c r="P108" i="27"/>
  <c r="Q108" i="27"/>
  <c r="R108" i="27"/>
  <c r="S108" i="27"/>
  <c r="T108" i="27"/>
  <c r="U108" i="27"/>
  <c r="V108" i="27"/>
  <c r="W108" i="27"/>
  <c r="Y108" i="27"/>
  <c r="I107" i="27"/>
  <c r="J107" i="27"/>
  <c r="K107" i="27"/>
  <c r="L107" i="27"/>
  <c r="M107" i="27"/>
  <c r="N107" i="27"/>
  <c r="O107" i="27"/>
  <c r="P107" i="27"/>
  <c r="Q107" i="27"/>
  <c r="R107" i="27"/>
  <c r="S107" i="27"/>
  <c r="T107" i="27"/>
  <c r="U107" i="27"/>
  <c r="V107" i="27"/>
  <c r="W107" i="27"/>
  <c r="Y107" i="27"/>
  <c r="I98" i="27"/>
  <c r="J98" i="27"/>
  <c r="K98" i="27"/>
  <c r="L98" i="27"/>
  <c r="M98" i="27"/>
  <c r="N98" i="27"/>
  <c r="O98" i="27"/>
  <c r="P98" i="27"/>
  <c r="Q98" i="27"/>
  <c r="R98" i="27"/>
  <c r="S98" i="27"/>
  <c r="T98" i="27"/>
  <c r="U98" i="27"/>
  <c r="V98" i="27"/>
  <c r="W98" i="27"/>
  <c r="Y98" i="27"/>
  <c r="I97" i="27"/>
  <c r="J97" i="27"/>
  <c r="K97" i="27"/>
  <c r="L97" i="27"/>
  <c r="M97" i="27"/>
  <c r="N97" i="27"/>
  <c r="O97" i="27"/>
  <c r="P97" i="27"/>
  <c r="Q97" i="27"/>
  <c r="R97" i="27"/>
  <c r="S97" i="27"/>
  <c r="T97" i="27"/>
  <c r="U97" i="27"/>
  <c r="V97" i="27"/>
  <c r="W97" i="27"/>
  <c r="Y97" i="27"/>
  <c r="I20" i="27"/>
  <c r="J20" i="27"/>
  <c r="K20" i="27"/>
  <c r="L20" i="27"/>
  <c r="M20" i="27"/>
  <c r="N20" i="27"/>
  <c r="O20" i="27"/>
  <c r="P20" i="27"/>
  <c r="Q20" i="27"/>
  <c r="R20" i="27"/>
  <c r="S20" i="27"/>
  <c r="T20" i="27"/>
  <c r="U20" i="27"/>
  <c r="V20" i="27"/>
  <c r="W20" i="27"/>
  <c r="Y20" i="27"/>
  <c r="I63" i="27"/>
  <c r="I64" i="27"/>
  <c r="J63" i="27"/>
  <c r="J64" i="27"/>
  <c r="K63" i="27"/>
  <c r="K64" i="27"/>
  <c r="L63" i="27"/>
  <c r="L64" i="27"/>
  <c r="M63" i="27"/>
  <c r="M64" i="27"/>
  <c r="N63" i="27"/>
  <c r="N64" i="27"/>
  <c r="O63" i="27"/>
  <c r="O64" i="27"/>
  <c r="P63" i="27"/>
  <c r="P64" i="27"/>
  <c r="Q63" i="27"/>
  <c r="Q64" i="27"/>
  <c r="R63" i="27"/>
  <c r="R64" i="27"/>
  <c r="S63" i="27"/>
  <c r="S64" i="27"/>
  <c r="T63" i="27"/>
  <c r="T64" i="27"/>
  <c r="U63" i="27"/>
  <c r="U64" i="27"/>
  <c r="V63" i="27"/>
  <c r="V64" i="27"/>
  <c r="W63" i="27"/>
  <c r="W64" i="27"/>
  <c r="Y63" i="27"/>
  <c r="Y64" i="27"/>
  <c r="I29" i="27"/>
  <c r="I30" i="27"/>
  <c r="J29" i="27"/>
  <c r="J30" i="27"/>
  <c r="K29" i="27"/>
  <c r="K30" i="27"/>
  <c r="L29" i="27"/>
  <c r="L30" i="27"/>
  <c r="M29" i="27"/>
  <c r="M30" i="27"/>
  <c r="N29" i="27"/>
  <c r="N30" i="27"/>
  <c r="O29" i="27"/>
  <c r="O30" i="27"/>
  <c r="P29" i="27"/>
  <c r="P30" i="27"/>
  <c r="Q29" i="27"/>
  <c r="Q30" i="27"/>
  <c r="R29" i="27"/>
  <c r="R30" i="27"/>
  <c r="S29" i="27"/>
  <c r="S30" i="27"/>
  <c r="T29" i="27"/>
  <c r="T30" i="27"/>
  <c r="U29" i="27"/>
  <c r="U30" i="27"/>
  <c r="V29" i="27"/>
  <c r="V30" i="27"/>
  <c r="W29" i="27"/>
  <c r="W30" i="27"/>
  <c r="Y29" i="27"/>
  <c r="Y30" i="27"/>
  <c r="I45" i="27"/>
  <c r="J45" i="27"/>
  <c r="K45" i="27"/>
  <c r="L45" i="27"/>
  <c r="M45" i="27"/>
  <c r="N45" i="27"/>
  <c r="O45" i="27"/>
  <c r="P45" i="27"/>
  <c r="Q45" i="27"/>
  <c r="R45" i="27"/>
  <c r="S45" i="27"/>
  <c r="T45" i="27"/>
  <c r="U45" i="27"/>
  <c r="V45" i="27"/>
  <c r="W45" i="27"/>
  <c r="Y45" i="27"/>
  <c r="I89" i="27"/>
  <c r="I90" i="27"/>
  <c r="I91" i="27"/>
  <c r="I92" i="27"/>
  <c r="I93" i="27"/>
  <c r="I94" i="27"/>
  <c r="I95" i="27"/>
  <c r="I96" i="27"/>
  <c r="I99" i="27"/>
  <c r="I100" i="27"/>
  <c r="I101" i="27"/>
  <c r="I102" i="27"/>
  <c r="I103" i="27"/>
  <c r="I104" i="27"/>
  <c r="I105" i="27"/>
  <c r="I106" i="27"/>
  <c r="I109" i="27"/>
  <c r="I110" i="27"/>
  <c r="I111" i="27"/>
  <c r="I112" i="27"/>
  <c r="I113" i="27"/>
  <c r="I114" i="27"/>
  <c r="I115" i="27"/>
  <c r="I116" i="27"/>
  <c r="I117" i="27"/>
  <c r="J89" i="27"/>
  <c r="J90" i="27"/>
  <c r="J91" i="27"/>
  <c r="J92" i="27"/>
  <c r="J93" i="27"/>
  <c r="J94" i="27"/>
  <c r="J95" i="27"/>
  <c r="J96" i="27"/>
  <c r="J99" i="27"/>
  <c r="J100" i="27"/>
  <c r="J101" i="27"/>
  <c r="J102" i="27"/>
  <c r="J103" i="27"/>
  <c r="J104" i="27"/>
  <c r="J105" i="27"/>
  <c r="J106" i="27"/>
  <c r="J109" i="27"/>
  <c r="J110" i="27"/>
  <c r="J111" i="27"/>
  <c r="J112" i="27"/>
  <c r="J113" i="27"/>
  <c r="J114" i="27"/>
  <c r="J115" i="27"/>
  <c r="J116" i="27"/>
  <c r="J117" i="27"/>
  <c r="K89" i="27"/>
  <c r="K90" i="27"/>
  <c r="K91" i="27"/>
  <c r="K92" i="27"/>
  <c r="K93" i="27"/>
  <c r="K94" i="27"/>
  <c r="K95" i="27"/>
  <c r="K96" i="27"/>
  <c r="K99" i="27"/>
  <c r="K100" i="27"/>
  <c r="K101" i="27"/>
  <c r="K102" i="27"/>
  <c r="K103" i="27"/>
  <c r="K104" i="27"/>
  <c r="K105" i="27"/>
  <c r="K106" i="27"/>
  <c r="K109" i="27"/>
  <c r="K110" i="27"/>
  <c r="K111" i="27"/>
  <c r="K112" i="27"/>
  <c r="K113" i="27"/>
  <c r="K114" i="27"/>
  <c r="K115" i="27"/>
  <c r="K116" i="27"/>
  <c r="K117" i="27"/>
  <c r="L89" i="27"/>
  <c r="L90" i="27"/>
  <c r="L91" i="27"/>
  <c r="L92" i="27"/>
  <c r="L93" i="27"/>
  <c r="L94" i="27"/>
  <c r="L95" i="27"/>
  <c r="L96" i="27"/>
  <c r="L99" i="27"/>
  <c r="L100" i="27"/>
  <c r="L101" i="27"/>
  <c r="L102" i="27"/>
  <c r="L103" i="27"/>
  <c r="L104" i="27"/>
  <c r="L105" i="27"/>
  <c r="L106" i="27"/>
  <c r="L109" i="27"/>
  <c r="L110" i="27"/>
  <c r="L111" i="27"/>
  <c r="L112" i="27"/>
  <c r="L113" i="27"/>
  <c r="L114" i="27"/>
  <c r="L115" i="27"/>
  <c r="L116" i="27"/>
  <c r="L117" i="27"/>
  <c r="M89" i="27"/>
  <c r="M90" i="27"/>
  <c r="M91" i="27"/>
  <c r="M92" i="27"/>
  <c r="M93" i="27"/>
  <c r="M94" i="27"/>
  <c r="M95" i="27"/>
  <c r="M96" i="27"/>
  <c r="M99" i="27"/>
  <c r="M100" i="27"/>
  <c r="M101" i="27"/>
  <c r="M102" i="27"/>
  <c r="M103" i="27"/>
  <c r="M104" i="27"/>
  <c r="M105" i="27"/>
  <c r="M106" i="27"/>
  <c r="M109" i="27"/>
  <c r="M110" i="27"/>
  <c r="M111" i="27"/>
  <c r="M112" i="27"/>
  <c r="M113" i="27"/>
  <c r="M114" i="27"/>
  <c r="M115" i="27"/>
  <c r="M116" i="27"/>
  <c r="M117" i="27"/>
  <c r="N89" i="27"/>
  <c r="N90" i="27"/>
  <c r="N91" i="27"/>
  <c r="N92" i="27"/>
  <c r="N93" i="27"/>
  <c r="N94" i="27"/>
  <c r="N95" i="27"/>
  <c r="N96" i="27"/>
  <c r="N99" i="27"/>
  <c r="N100" i="27"/>
  <c r="N101" i="27"/>
  <c r="N102" i="27"/>
  <c r="N103" i="27"/>
  <c r="N104" i="27"/>
  <c r="N105" i="27"/>
  <c r="N106" i="27"/>
  <c r="N109" i="27"/>
  <c r="N110" i="27"/>
  <c r="N111" i="27"/>
  <c r="N112" i="27"/>
  <c r="N113" i="27"/>
  <c r="N114" i="27"/>
  <c r="N115" i="27"/>
  <c r="N116" i="27"/>
  <c r="N117" i="27"/>
  <c r="O89" i="27"/>
  <c r="O90" i="27"/>
  <c r="O91" i="27"/>
  <c r="O92" i="27"/>
  <c r="O93" i="27"/>
  <c r="O94" i="27"/>
  <c r="O95" i="27"/>
  <c r="O96" i="27"/>
  <c r="O99" i="27"/>
  <c r="O100" i="27"/>
  <c r="O101" i="27"/>
  <c r="O102" i="27"/>
  <c r="O103" i="27"/>
  <c r="O104" i="27"/>
  <c r="O105" i="27"/>
  <c r="O106" i="27"/>
  <c r="O109" i="27"/>
  <c r="O110" i="27"/>
  <c r="O111" i="27"/>
  <c r="O112" i="27"/>
  <c r="O113" i="27"/>
  <c r="O114" i="27"/>
  <c r="O115" i="27"/>
  <c r="O116" i="27"/>
  <c r="O117" i="27"/>
  <c r="P89" i="27"/>
  <c r="P90" i="27"/>
  <c r="P91" i="27"/>
  <c r="P92" i="27"/>
  <c r="P93" i="27"/>
  <c r="P94" i="27"/>
  <c r="P95" i="27"/>
  <c r="P96" i="27"/>
  <c r="P99" i="27"/>
  <c r="P100" i="27"/>
  <c r="P101" i="27"/>
  <c r="P102" i="27"/>
  <c r="P103" i="27"/>
  <c r="P104" i="27"/>
  <c r="P105" i="27"/>
  <c r="P106" i="27"/>
  <c r="P109" i="27"/>
  <c r="P110" i="27"/>
  <c r="P111" i="27"/>
  <c r="P112" i="27"/>
  <c r="P113" i="27"/>
  <c r="P114" i="27"/>
  <c r="P115" i="27"/>
  <c r="P116" i="27"/>
  <c r="P117" i="27"/>
  <c r="Q89" i="27"/>
  <c r="Q90" i="27"/>
  <c r="Q91" i="27"/>
  <c r="Q92" i="27"/>
  <c r="Q93" i="27"/>
  <c r="Q94" i="27"/>
  <c r="Q95" i="27"/>
  <c r="Q96" i="27"/>
  <c r="Q99" i="27"/>
  <c r="Q100" i="27"/>
  <c r="Q101" i="27"/>
  <c r="Q102" i="27"/>
  <c r="Q103" i="27"/>
  <c r="Q104" i="27"/>
  <c r="Q105" i="27"/>
  <c r="Q106" i="27"/>
  <c r="Q109" i="27"/>
  <c r="Q110" i="27"/>
  <c r="Q111" i="27"/>
  <c r="Q112" i="27"/>
  <c r="Q113" i="27"/>
  <c r="Q114" i="27"/>
  <c r="Q115" i="27"/>
  <c r="Q116" i="27"/>
  <c r="Q117" i="27"/>
  <c r="R89" i="27"/>
  <c r="R90" i="27"/>
  <c r="R91" i="27"/>
  <c r="R92" i="27"/>
  <c r="R93" i="27"/>
  <c r="R94" i="27"/>
  <c r="R95" i="27"/>
  <c r="R96" i="27"/>
  <c r="R99" i="27"/>
  <c r="R100" i="27"/>
  <c r="R101" i="27"/>
  <c r="R102" i="27"/>
  <c r="R103" i="27"/>
  <c r="R104" i="27"/>
  <c r="R105" i="27"/>
  <c r="R106" i="27"/>
  <c r="R109" i="27"/>
  <c r="R110" i="27"/>
  <c r="R111" i="27"/>
  <c r="R112" i="27"/>
  <c r="R113" i="27"/>
  <c r="R114" i="27"/>
  <c r="R115" i="27"/>
  <c r="R116" i="27"/>
  <c r="R117" i="27"/>
  <c r="S89" i="27"/>
  <c r="S90" i="27"/>
  <c r="S91" i="27"/>
  <c r="S92" i="27"/>
  <c r="S93" i="27"/>
  <c r="S94" i="27"/>
  <c r="S95" i="27"/>
  <c r="S96" i="27"/>
  <c r="S99" i="27"/>
  <c r="S100" i="27"/>
  <c r="S101" i="27"/>
  <c r="S102" i="27"/>
  <c r="S103" i="27"/>
  <c r="S104" i="27"/>
  <c r="S105" i="27"/>
  <c r="S106" i="27"/>
  <c r="S109" i="27"/>
  <c r="S110" i="27"/>
  <c r="S111" i="27"/>
  <c r="S112" i="27"/>
  <c r="S113" i="27"/>
  <c r="S114" i="27"/>
  <c r="S115" i="27"/>
  <c r="S116" i="27"/>
  <c r="S117" i="27"/>
  <c r="T89" i="27"/>
  <c r="T90" i="27"/>
  <c r="T91" i="27"/>
  <c r="T92" i="27"/>
  <c r="T93" i="27"/>
  <c r="T94" i="27"/>
  <c r="T95" i="27"/>
  <c r="T96" i="27"/>
  <c r="T99" i="27"/>
  <c r="T100" i="27"/>
  <c r="T101" i="27"/>
  <c r="T102" i="27"/>
  <c r="T103" i="27"/>
  <c r="T104" i="27"/>
  <c r="T105" i="27"/>
  <c r="T106" i="27"/>
  <c r="T109" i="27"/>
  <c r="T110" i="27"/>
  <c r="T111" i="27"/>
  <c r="T112" i="27"/>
  <c r="T113" i="27"/>
  <c r="T114" i="27"/>
  <c r="T115" i="27"/>
  <c r="T116" i="27"/>
  <c r="T117" i="27"/>
  <c r="U89" i="27"/>
  <c r="U90" i="27"/>
  <c r="U91" i="27"/>
  <c r="U92" i="27"/>
  <c r="U93" i="27"/>
  <c r="U94" i="27"/>
  <c r="U95" i="27"/>
  <c r="U96" i="27"/>
  <c r="U99" i="27"/>
  <c r="U100" i="27"/>
  <c r="U101" i="27"/>
  <c r="U102" i="27"/>
  <c r="U103" i="27"/>
  <c r="U104" i="27"/>
  <c r="U105" i="27"/>
  <c r="U106" i="27"/>
  <c r="U109" i="27"/>
  <c r="U110" i="27"/>
  <c r="U111" i="27"/>
  <c r="U112" i="27"/>
  <c r="U113" i="27"/>
  <c r="U114" i="27"/>
  <c r="U115" i="27"/>
  <c r="U116" i="27"/>
  <c r="U117" i="27"/>
  <c r="V89" i="27"/>
  <c r="V90" i="27"/>
  <c r="V91" i="27"/>
  <c r="V92" i="27"/>
  <c r="V93" i="27"/>
  <c r="V94" i="27"/>
  <c r="V95" i="27"/>
  <c r="V96" i="27"/>
  <c r="V99" i="27"/>
  <c r="V100" i="27"/>
  <c r="V101" i="27"/>
  <c r="V102" i="27"/>
  <c r="V103" i="27"/>
  <c r="V104" i="27"/>
  <c r="V105" i="27"/>
  <c r="V106" i="27"/>
  <c r="V109" i="27"/>
  <c r="V110" i="27"/>
  <c r="V111" i="27"/>
  <c r="V112" i="27"/>
  <c r="V113" i="27"/>
  <c r="V114" i="27"/>
  <c r="V115" i="27"/>
  <c r="V116" i="27"/>
  <c r="V117" i="27"/>
  <c r="W89" i="27"/>
  <c r="W90" i="27"/>
  <c r="W91" i="27"/>
  <c r="W92" i="27"/>
  <c r="W93" i="27"/>
  <c r="W94" i="27"/>
  <c r="W95" i="27"/>
  <c r="W96" i="27"/>
  <c r="W99" i="27"/>
  <c r="W100" i="27"/>
  <c r="W101" i="27"/>
  <c r="W102" i="27"/>
  <c r="W103" i="27"/>
  <c r="W104" i="27"/>
  <c r="W105" i="27"/>
  <c r="W106" i="27"/>
  <c r="W109" i="27"/>
  <c r="W110" i="27"/>
  <c r="W111" i="27"/>
  <c r="W112" i="27"/>
  <c r="W113" i="27"/>
  <c r="W114" i="27"/>
  <c r="W115" i="27"/>
  <c r="W116" i="27"/>
  <c r="W117" i="27"/>
  <c r="Y89" i="27"/>
  <c r="Y90" i="27"/>
  <c r="Y91" i="27"/>
  <c r="Y92" i="27"/>
  <c r="Y93" i="27"/>
  <c r="Y94" i="27"/>
  <c r="Y95" i="27"/>
  <c r="Y96" i="27"/>
  <c r="Y99" i="27"/>
  <c r="Y100" i="27"/>
  <c r="Y101" i="27"/>
  <c r="Y102" i="27"/>
  <c r="Y103" i="27"/>
  <c r="Y104" i="27"/>
  <c r="Y105" i="27"/>
  <c r="Y106" i="27"/>
  <c r="Y109" i="27"/>
  <c r="Y110" i="27"/>
  <c r="Y111" i="27"/>
  <c r="Y112" i="27"/>
  <c r="Y113" i="27"/>
  <c r="Y114" i="27"/>
  <c r="Y115" i="27"/>
  <c r="Y116" i="27"/>
  <c r="Y117" i="27"/>
  <c r="J88" i="27"/>
  <c r="T16" i="30"/>
  <c r="I16" i="30"/>
  <c r="J16" i="30"/>
  <c r="K16" i="30"/>
  <c r="L16" i="30"/>
  <c r="M16" i="30"/>
  <c r="N16" i="30"/>
  <c r="O16" i="30"/>
  <c r="P16" i="30"/>
  <c r="Q16" i="30"/>
  <c r="R16" i="30"/>
  <c r="S16" i="30"/>
  <c r="U16" i="30"/>
  <c r="V16" i="30"/>
  <c r="W16" i="30"/>
  <c r="I15" i="30"/>
  <c r="J15" i="30"/>
  <c r="K15" i="30"/>
  <c r="L15" i="30"/>
  <c r="M15" i="30"/>
  <c r="N15" i="30"/>
  <c r="O15" i="30"/>
  <c r="P15" i="30"/>
  <c r="Q15" i="30"/>
  <c r="R15" i="30"/>
  <c r="S15" i="30"/>
  <c r="T15" i="30"/>
  <c r="U15" i="30"/>
  <c r="V15" i="30"/>
  <c r="W15" i="30"/>
  <c r="I14" i="30"/>
  <c r="J14" i="30"/>
  <c r="K14" i="30"/>
  <c r="L14" i="30"/>
  <c r="M14" i="30"/>
  <c r="N14" i="30"/>
  <c r="O14" i="30"/>
  <c r="P14" i="30"/>
  <c r="Q14" i="30"/>
  <c r="R14" i="30"/>
  <c r="S14" i="30"/>
  <c r="T14" i="30"/>
  <c r="U14" i="30"/>
  <c r="V14" i="30"/>
  <c r="W14" i="30"/>
  <c r="I13" i="30"/>
  <c r="J13" i="30"/>
  <c r="K13" i="30"/>
  <c r="L13" i="30"/>
  <c r="M13" i="30"/>
  <c r="N13" i="30"/>
  <c r="O13" i="30"/>
  <c r="P13" i="30"/>
  <c r="Q13" i="30"/>
  <c r="R13" i="30"/>
  <c r="S13" i="30"/>
  <c r="T13" i="30"/>
  <c r="U13" i="30"/>
  <c r="V13" i="30"/>
  <c r="W13" i="30"/>
  <c r="T12" i="30"/>
  <c r="I12" i="30"/>
  <c r="J12" i="30"/>
  <c r="K12" i="30"/>
  <c r="L12" i="30"/>
  <c r="M12" i="30"/>
  <c r="N12" i="30"/>
  <c r="O12" i="30"/>
  <c r="P12" i="30"/>
  <c r="Q12" i="30"/>
  <c r="R12" i="30"/>
  <c r="S12" i="30"/>
  <c r="U12" i="30"/>
  <c r="V12" i="30"/>
  <c r="W12" i="30"/>
  <c r="I48" i="27"/>
  <c r="J48" i="27"/>
  <c r="K48" i="27"/>
  <c r="L48" i="27"/>
  <c r="M48" i="27"/>
  <c r="N48" i="27"/>
  <c r="O48" i="27"/>
  <c r="P48" i="27"/>
  <c r="Q48" i="27"/>
  <c r="R48" i="27"/>
  <c r="S48" i="27"/>
  <c r="T48" i="27"/>
  <c r="U48" i="27"/>
  <c r="V48" i="27"/>
  <c r="W48" i="27"/>
  <c r="Y48" i="27"/>
  <c r="I9" i="30"/>
  <c r="J9" i="30"/>
  <c r="K9" i="30"/>
  <c r="L9" i="30"/>
  <c r="M9" i="30"/>
  <c r="N9" i="30"/>
  <c r="O9" i="30"/>
  <c r="P9" i="30"/>
  <c r="Q9" i="30"/>
  <c r="R9" i="30"/>
  <c r="S9" i="30"/>
  <c r="T9" i="30"/>
  <c r="U9" i="30"/>
  <c r="V9" i="30"/>
  <c r="W9" i="30"/>
  <c r="Y71" i="27"/>
  <c r="W71" i="27"/>
  <c r="V71" i="27"/>
  <c r="U71" i="27"/>
  <c r="T71" i="27"/>
  <c r="S71" i="27"/>
  <c r="R71" i="27"/>
  <c r="Q71" i="27"/>
  <c r="P71" i="27"/>
  <c r="O71" i="27"/>
  <c r="N71" i="27"/>
  <c r="M71" i="27"/>
  <c r="L71" i="27"/>
  <c r="K71" i="27"/>
  <c r="J71" i="27"/>
  <c r="I71" i="27"/>
  <c r="Y70" i="27"/>
  <c r="W70" i="27"/>
  <c r="V70" i="27"/>
  <c r="U70" i="27"/>
  <c r="T70" i="27"/>
  <c r="S70" i="27"/>
  <c r="R70" i="27"/>
  <c r="Q70" i="27"/>
  <c r="P70" i="27"/>
  <c r="O70" i="27"/>
  <c r="N70" i="27"/>
  <c r="M70" i="27"/>
  <c r="L70" i="27"/>
  <c r="K70" i="27"/>
  <c r="J70" i="27"/>
  <c r="I70" i="27"/>
  <c r="Y69" i="27"/>
  <c r="W69" i="27"/>
  <c r="V69" i="27"/>
  <c r="U69" i="27"/>
  <c r="T69" i="27"/>
  <c r="S69" i="27"/>
  <c r="R69" i="27"/>
  <c r="Q69" i="27"/>
  <c r="P69" i="27"/>
  <c r="O69" i="27"/>
  <c r="N69" i="27"/>
  <c r="M69" i="27"/>
  <c r="L69" i="27"/>
  <c r="K69" i="27"/>
  <c r="J69" i="27"/>
  <c r="I69" i="27"/>
  <c r="Y68" i="27"/>
  <c r="W68" i="27"/>
  <c r="V68" i="27"/>
  <c r="U68" i="27"/>
  <c r="T68" i="27"/>
  <c r="S68" i="27"/>
  <c r="R68" i="27"/>
  <c r="Q68" i="27"/>
  <c r="P68" i="27"/>
  <c r="O68" i="27"/>
  <c r="N68" i="27"/>
  <c r="M68" i="27"/>
  <c r="L68" i="27"/>
  <c r="K68" i="27"/>
  <c r="J68" i="27"/>
  <c r="I68" i="27"/>
  <c r="Y67" i="27"/>
  <c r="W67" i="27"/>
  <c r="V67" i="27"/>
  <c r="U67" i="27"/>
  <c r="T67" i="27"/>
  <c r="S67" i="27"/>
  <c r="R67" i="27"/>
  <c r="Q67" i="27"/>
  <c r="P67" i="27"/>
  <c r="O67" i="27"/>
  <c r="N67" i="27"/>
  <c r="M67" i="27"/>
  <c r="L67" i="27"/>
  <c r="K67" i="27"/>
  <c r="J67" i="27"/>
  <c r="I67" i="27"/>
  <c r="Y66" i="27"/>
  <c r="W66" i="27"/>
  <c r="V66" i="27"/>
  <c r="U66" i="27"/>
  <c r="T66" i="27"/>
  <c r="S66" i="27"/>
  <c r="R66" i="27"/>
  <c r="Q66" i="27"/>
  <c r="P66" i="27"/>
  <c r="O66" i="27"/>
  <c r="N66" i="27"/>
  <c r="M66" i="27"/>
  <c r="L66" i="27"/>
  <c r="K66" i="27"/>
  <c r="J66" i="27"/>
  <c r="I66" i="27"/>
  <c r="Y65" i="27"/>
  <c r="W65" i="27"/>
  <c r="V65" i="27"/>
  <c r="U65" i="27"/>
  <c r="T65" i="27"/>
  <c r="S65" i="27"/>
  <c r="R65" i="27"/>
  <c r="Q65" i="27"/>
  <c r="P65" i="27"/>
  <c r="O65" i="27"/>
  <c r="N65" i="27"/>
  <c r="M65" i="27"/>
  <c r="L65" i="27"/>
  <c r="K65" i="27"/>
  <c r="J65" i="27"/>
  <c r="I65" i="27"/>
  <c r="Y80" i="27"/>
  <c r="W80" i="27"/>
  <c r="V80" i="27"/>
  <c r="U80" i="27"/>
  <c r="T80" i="27"/>
  <c r="S80" i="27"/>
  <c r="R80" i="27"/>
  <c r="Q80" i="27"/>
  <c r="P80" i="27"/>
  <c r="O80" i="27"/>
  <c r="N80" i="27"/>
  <c r="M80" i="27"/>
  <c r="L80" i="27"/>
  <c r="K80" i="27"/>
  <c r="J80" i="27"/>
  <c r="I80" i="27"/>
  <c r="Y79" i="27"/>
  <c r="W79" i="27"/>
  <c r="V79" i="27"/>
  <c r="U79" i="27"/>
  <c r="T79" i="27"/>
  <c r="S79" i="27"/>
  <c r="R79" i="27"/>
  <c r="Q79" i="27"/>
  <c r="P79" i="27"/>
  <c r="O79" i="27"/>
  <c r="N79" i="27"/>
  <c r="M79" i="27"/>
  <c r="L79" i="27"/>
  <c r="K79" i="27"/>
  <c r="J79" i="27"/>
  <c r="I79" i="27"/>
  <c r="I75" i="27"/>
  <c r="J75" i="27"/>
  <c r="K75" i="27"/>
  <c r="L75" i="27"/>
  <c r="M75" i="27"/>
  <c r="N75" i="27"/>
  <c r="O75" i="27"/>
  <c r="P75" i="27"/>
  <c r="Q75" i="27"/>
  <c r="R75" i="27"/>
  <c r="S75" i="27"/>
  <c r="T75" i="27"/>
  <c r="U75" i="27"/>
  <c r="V75" i="27"/>
  <c r="W75" i="27"/>
  <c r="Y75" i="27"/>
  <c r="I73" i="27"/>
  <c r="J73" i="27"/>
  <c r="K73" i="27"/>
  <c r="L73" i="27"/>
  <c r="M73" i="27"/>
  <c r="N73" i="27"/>
  <c r="O73" i="27"/>
  <c r="P73" i="27"/>
  <c r="Q73" i="27"/>
  <c r="R73" i="27"/>
  <c r="S73" i="27"/>
  <c r="T73" i="27"/>
  <c r="U73" i="27"/>
  <c r="V73" i="27"/>
  <c r="W73" i="27"/>
  <c r="Y73" i="27"/>
  <c r="I62" i="27"/>
  <c r="J62" i="27"/>
  <c r="K62" i="27"/>
  <c r="L62" i="27"/>
  <c r="M62" i="27"/>
  <c r="N62" i="27"/>
  <c r="O62" i="27"/>
  <c r="P62" i="27"/>
  <c r="Q62" i="27"/>
  <c r="R62" i="27"/>
  <c r="S62" i="27"/>
  <c r="T62" i="27"/>
  <c r="U62" i="27"/>
  <c r="V62" i="27"/>
  <c r="W62" i="27"/>
  <c r="Y62" i="27"/>
  <c r="I60" i="27"/>
  <c r="J60" i="27"/>
  <c r="K60" i="27"/>
  <c r="L60" i="27"/>
  <c r="M60" i="27"/>
  <c r="N60" i="27"/>
  <c r="O60" i="27"/>
  <c r="P60" i="27"/>
  <c r="Q60" i="27"/>
  <c r="R60" i="27"/>
  <c r="S60" i="27"/>
  <c r="T60" i="27"/>
  <c r="U60" i="27"/>
  <c r="V60" i="27"/>
  <c r="W60" i="27"/>
  <c r="Y60" i="27"/>
  <c r="I86" i="27"/>
  <c r="J86" i="27"/>
  <c r="K86" i="27"/>
  <c r="L86" i="27"/>
  <c r="M86" i="27"/>
  <c r="N86" i="27"/>
  <c r="O86" i="27"/>
  <c r="P86" i="27"/>
  <c r="Q86" i="27"/>
  <c r="R86" i="27"/>
  <c r="S86" i="27"/>
  <c r="T86" i="27"/>
  <c r="U86" i="27"/>
  <c r="V86" i="27"/>
  <c r="W86" i="27"/>
  <c r="Y86" i="27"/>
  <c r="Y16" i="27"/>
  <c r="W16" i="27"/>
  <c r="V16" i="27"/>
  <c r="U16" i="27"/>
  <c r="T16" i="27"/>
  <c r="S16" i="27"/>
  <c r="R16" i="27"/>
  <c r="Q16" i="27"/>
  <c r="P16" i="27"/>
  <c r="O16" i="27"/>
  <c r="N16" i="27"/>
  <c r="M16" i="27"/>
  <c r="L16" i="27"/>
  <c r="K16" i="27"/>
  <c r="J16" i="27"/>
  <c r="I16" i="27"/>
  <c r="Y15" i="27"/>
  <c r="W15" i="27"/>
  <c r="V15" i="27"/>
  <c r="U15" i="27"/>
  <c r="T15" i="27"/>
  <c r="S15" i="27"/>
  <c r="R15" i="27"/>
  <c r="Q15" i="27"/>
  <c r="P15" i="27"/>
  <c r="O15" i="27"/>
  <c r="N15" i="27"/>
  <c r="M15" i="27"/>
  <c r="L15" i="27"/>
  <c r="K15" i="27"/>
  <c r="J15" i="27"/>
  <c r="I15" i="27"/>
  <c r="Y14" i="27"/>
  <c r="W14" i="27"/>
  <c r="V14" i="27"/>
  <c r="U14" i="27"/>
  <c r="T14" i="27"/>
  <c r="S14" i="27"/>
  <c r="R14" i="27"/>
  <c r="Q14" i="27"/>
  <c r="P14" i="27"/>
  <c r="O14" i="27"/>
  <c r="N14" i="27"/>
  <c r="M14" i="27"/>
  <c r="L14" i="27"/>
  <c r="K14" i="27"/>
  <c r="J14" i="27"/>
  <c r="I14" i="27"/>
  <c r="Y13" i="27"/>
  <c r="W13" i="27"/>
  <c r="V13" i="27"/>
  <c r="U13" i="27"/>
  <c r="T13" i="27"/>
  <c r="S13" i="27"/>
  <c r="R13" i="27"/>
  <c r="Q13" i="27"/>
  <c r="P13" i="27"/>
  <c r="O13" i="27"/>
  <c r="N13" i="27"/>
  <c r="M13" i="27"/>
  <c r="L13" i="27"/>
  <c r="K13" i="27"/>
  <c r="J13" i="27"/>
  <c r="I13" i="27"/>
  <c r="Y12" i="27"/>
  <c r="W12" i="27"/>
  <c r="V12" i="27"/>
  <c r="U12" i="27"/>
  <c r="T12" i="27"/>
  <c r="S12" i="27"/>
  <c r="R12" i="27"/>
  <c r="Q12" i="27"/>
  <c r="P12" i="27"/>
  <c r="O12" i="27"/>
  <c r="N12" i="27"/>
  <c r="M12" i="27"/>
  <c r="L12" i="27"/>
  <c r="K12" i="27"/>
  <c r="J12" i="27"/>
  <c r="I12" i="27"/>
  <c r="Y11" i="27"/>
  <c r="W11" i="27"/>
  <c r="V11" i="27"/>
  <c r="U11" i="27"/>
  <c r="T11" i="27"/>
  <c r="S11" i="27"/>
  <c r="R11" i="27"/>
  <c r="Q11" i="27"/>
  <c r="P11" i="27"/>
  <c r="O11" i="27"/>
  <c r="N11" i="27"/>
  <c r="M11" i="27"/>
  <c r="L11" i="27"/>
  <c r="K11" i="27"/>
  <c r="J11" i="27"/>
  <c r="I11" i="27"/>
  <c r="Y10" i="27"/>
  <c r="W10" i="27"/>
  <c r="V10" i="27"/>
  <c r="U10" i="27"/>
  <c r="T10" i="27"/>
  <c r="S10" i="27"/>
  <c r="R10" i="27"/>
  <c r="Q10" i="27"/>
  <c r="P10" i="27"/>
  <c r="O10" i="27"/>
  <c r="N10" i="27"/>
  <c r="M10" i="27"/>
  <c r="L10" i="27"/>
  <c r="K10" i="27"/>
  <c r="J10" i="27"/>
  <c r="I10" i="27"/>
  <c r="I6" i="27"/>
  <c r="J6" i="27"/>
  <c r="K6" i="27"/>
  <c r="L6" i="27"/>
  <c r="M6" i="27"/>
  <c r="N6" i="27"/>
  <c r="O6" i="27"/>
  <c r="P6" i="27"/>
  <c r="Q6" i="27"/>
  <c r="R6" i="27"/>
  <c r="S6" i="27"/>
  <c r="T6" i="27"/>
  <c r="U6" i="27"/>
  <c r="V6" i="27"/>
  <c r="W6" i="27"/>
  <c r="Y6" i="27"/>
  <c r="I4" i="27"/>
  <c r="J4" i="27"/>
  <c r="K4" i="27"/>
  <c r="L4" i="27"/>
  <c r="M4" i="27"/>
  <c r="N4" i="27"/>
  <c r="O4" i="27"/>
  <c r="P4" i="27"/>
  <c r="Q4" i="27"/>
  <c r="R4" i="27"/>
  <c r="S4" i="27"/>
  <c r="T4" i="27"/>
  <c r="U4" i="27"/>
  <c r="V4" i="27"/>
  <c r="W4" i="27"/>
  <c r="Y4" i="27"/>
  <c r="Y42" i="27"/>
  <c r="W42" i="27"/>
  <c r="V42" i="27"/>
  <c r="U42" i="27"/>
  <c r="T42" i="27"/>
  <c r="S42" i="27"/>
  <c r="R42" i="27"/>
  <c r="Q42" i="27"/>
  <c r="P42" i="27"/>
  <c r="O42" i="27"/>
  <c r="N42" i="27"/>
  <c r="M42" i="27"/>
  <c r="L42" i="27"/>
  <c r="K42" i="27"/>
  <c r="J42" i="27"/>
  <c r="I42" i="27"/>
  <c r="Y41" i="27"/>
  <c r="W41" i="27"/>
  <c r="V41" i="27"/>
  <c r="U41" i="27"/>
  <c r="T41" i="27"/>
  <c r="S41" i="27"/>
  <c r="R41" i="27"/>
  <c r="Q41" i="27"/>
  <c r="P41" i="27"/>
  <c r="O41" i="27"/>
  <c r="N41" i="27"/>
  <c r="M41" i="27"/>
  <c r="L41" i="27"/>
  <c r="K41" i="27"/>
  <c r="J41" i="27"/>
  <c r="I41" i="27"/>
  <c r="Y40" i="27"/>
  <c r="W40" i="27"/>
  <c r="V40" i="27"/>
  <c r="U40" i="27"/>
  <c r="T40" i="27"/>
  <c r="S40" i="27"/>
  <c r="R40" i="27"/>
  <c r="Q40" i="27"/>
  <c r="P40" i="27"/>
  <c r="O40" i="27"/>
  <c r="N40" i="27"/>
  <c r="M40" i="27"/>
  <c r="L40" i="27"/>
  <c r="K40" i="27"/>
  <c r="J40" i="27"/>
  <c r="I40" i="27"/>
  <c r="Y39" i="27"/>
  <c r="W39" i="27"/>
  <c r="V39" i="27"/>
  <c r="U39" i="27"/>
  <c r="T39" i="27"/>
  <c r="S39" i="27"/>
  <c r="R39" i="27"/>
  <c r="Q39" i="27"/>
  <c r="P39" i="27"/>
  <c r="O39" i="27"/>
  <c r="N39" i="27"/>
  <c r="M39" i="27"/>
  <c r="L39" i="27"/>
  <c r="K39" i="27"/>
  <c r="J39" i="27"/>
  <c r="I39" i="27"/>
  <c r="Y38" i="27"/>
  <c r="W38" i="27"/>
  <c r="V38" i="27"/>
  <c r="U38" i="27"/>
  <c r="T38" i="27"/>
  <c r="S38" i="27"/>
  <c r="R38" i="27"/>
  <c r="Q38" i="27"/>
  <c r="P38" i="27"/>
  <c r="O38" i="27"/>
  <c r="N38" i="27"/>
  <c r="M38" i="27"/>
  <c r="L38" i="27"/>
  <c r="K38" i="27"/>
  <c r="J38" i="27"/>
  <c r="I38" i="27"/>
  <c r="Y37" i="27"/>
  <c r="W37" i="27"/>
  <c r="V37" i="27"/>
  <c r="U37" i="27"/>
  <c r="T37" i="27"/>
  <c r="S37" i="27"/>
  <c r="R37" i="27"/>
  <c r="Q37" i="27"/>
  <c r="P37" i="27"/>
  <c r="O37" i="27"/>
  <c r="N37" i="27"/>
  <c r="M37" i="27"/>
  <c r="L37" i="27"/>
  <c r="K37" i="27"/>
  <c r="J37" i="27"/>
  <c r="I37" i="27"/>
  <c r="Y36" i="27"/>
  <c r="W36" i="27"/>
  <c r="V36" i="27"/>
  <c r="U36" i="27"/>
  <c r="T36" i="27"/>
  <c r="S36" i="27"/>
  <c r="R36" i="27"/>
  <c r="Q36" i="27"/>
  <c r="P36" i="27"/>
  <c r="O36" i="27"/>
  <c r="N36" i="27"/>
  <c r="M36" i="27"/>
  <c r="L36" i="27"/>
  <c r="K36" i="27"/>
  <c r="J36" i="27"/>
  <c r="I36" i="27"/>
  <c r="T6" i="30"/>
  <c r="I6" i="30"/>
  <c r="J6" i="30"/>
  <c r="K6" i="30"/>
  <c r="L6" i="30"/>
  <c r="M6" i="30"/>
  <c r="N6" i="30"/>
  <c r="O6" i="30"/>
  <c r="P6" i="30"/>
  <c r="Q6" i="30"/>
  <c r="R6" i="30"/>
  <c r="S6" i="30"/>
  <c r="U6" i="30"/>
  <c r="V6" i="30"/>
  <c r="W6" i="30"/>
  <c r="I7" i="30"/>
  <c r="J7" i="30"/>
  <c r="K7" i="30"/>
  <c r="L7" i="30"/>
  <c r="M7" i="30"/>
  <c r="N7" i="30"/>
  <c r="O7" i="30"/>
  <c r="P7" i="30"/>
  <c r="Q7" i="30"/>
  <c r="R7" i="30"/>
  <c r="S7" i="30"/>
  <c r="T7" i="30"/>
  <c r="U7" i="30"/>
  <c r="V7" i="30"/>
  <c r="W7" i="30"/>
  <c r="Y25" i="27"/>
  <c r="W25" i="27"/>
  <c r="V25" i="27"/>
  <c r="U25" i="27"/>
  <c r="T25" i="27"/>
  <c r="S25" i="27"/>
  <c r="R25" i="27"/>
  <c r="Q25" i="27"/>
  <c r="P25" i="27"/>
  <c r="O25" i="27"/>
  <c r="N25" i="27"/>
  <c r="M25" i="27"/>
  <c r="L25" i="27"/>
  <c r="K25" i="27"/>
  <c r="J25" i="27"/>
  <c r="I25" i="27"/>
  <c r="Y24" i="27"/>
  <c r="W24" i="27"/>
  <c r="V24" i="27"/>
  <c r="U24" i="27"/>
  <c r="T24" i="27"/>
  <c r="S24" i="27"/>
  <c r="R24" i="27"/>
  <c r="Q24" i="27"/>
  <c r="P24" i="27"/>
  <c r="O24" i="27"/>
  <c r="N24" i="27"/>
  <c r="M24" i="27"/>
  <c r="L24" i="27"/>
  <c r="K24" i="27"/>
  <c r="J24" i="27"/>
  <c r="I24" i="27"/>
  <c r="Y23" i="27"/>
  <c r="W23" i="27"/>
  <c r="V23" i="27"/>
  <c r="U23" i="27"/>
  <c r="T23" i="27"/>
  <c r="S23" i="27"/>
  <c r="R23" i="27"/>
  <c r="Q23" i="27"/>
  <c r="P23" i="27"/>
  <c r="O23" i="27"/>
  <c r="N23" i="27"/>
  <c r="M23" i="27"/>
  <c r="L23" i="27"/>
  <c r="K23" i="27"/>
  <c r="J23" i="27"/>
  <c r="I23" i="27"/>
  <c r="Y22" i="27"/>
  <c r="W22" i="27"/>
  <c r="V22" i="27"/>
  <c r="U22" i="27"/>
  <c r="T22" i="27"/>
  <c r="S22" i="27"/>
  <c r="R22" i="27"/>
  <c r="Q22" i="27"/>
  <c r="P22" i="27"/>
  <c r="O22" i="27"/>
  <c r="N22" i="27"/>
  <c r="M22" i="27"/>
  <c r="L22" i="27"/>
  <c r="K22" i="27"/>
  <c r="J22" i="27"/>
  <c r="I22" i="27"/>
  <c r="Y21" i="27"/>
  <c r="W21" i="27"/>
  <c r="V21" i="27"/>
  <c r="U21" i="27"/>
  <c r="T21" i="27"/>
  <c r="S21" i="27"/>
  <c r="R21" i="27"/>
  <c r="Q21" i="27"/>
  <c r="P21" i="27"/>
  <c r="O21" i="27"/>
  <c r="N21" i="27"/>
  <c r="M21" i="27"/>
  <c r="L21" i="27"/>
  <c r="K21" i="27"/>
  <c r="J21" i="27"/>
  <c r="I21" i="27"/>
  <c r="Y18" i="27"/>
  <c r="W18" i="27"/>
  <c r="V18" i="27"/>
  <c r="U18" i="27"/>
  <c r="T18" i="27"/>
  <c r="S18" i="27"/>
  <c r="R18" i="27"/>
  <c r="Q18" i="27"/>
  <c r="P18" i="27"/>
  <c r="O18" i="27"/>
  <c r="N18" i="27"/>
  <c r="M18" i="27"/>
  <c r="L18" i="27"/>
  <c r="K18" i="27"/>
  <c r="J18" i="27"/>
  <c r="I18" i="27"/>
  <c r="Y17" i="27"/>
  <c r="W17" i="27"/>
  <c r="V17" i="27"/>
  <c r="U17" i="27"/>
  <c r="T17" i="27"/>
  <c r="S17" i="27"/>
  <c r="R17" i="27"/>
  <c r="Q17" i="27"/>
  <c r="P17" i="27"/>
  <c r="O17" i="27"/>
  <c r="N17" i="27"/>
  <c r="M17" i="27"/>
  <c r="L17" i="27"/>
  <c r="K17" i="27"/>
  <c r="J17" i="27"/>
  <c r="I17"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Y28" i="27"/>
  <c r="I19" i="27"/>
  <c r="J19" i="27"/>
  <c r="K19" i="27"/>
  <c r="L19" i="27"/>
  <c r="M19" i="27"/>
  <c r="N19" i="27"/>
  <c r="O19" i="27"/>
  <c r="P19" i="27"/>
  <c r="Q19" i="27"/>
  <c r="R19" i="27"/>
  <c r="S19" i="27"/>
  <c r="T19" i="27"/>
  <c r="U19" i="27"/>
  <c r="V19" i="27"/>
  <c r="W19" i="27"/>
  <c r="Y19" i="27"/>
  <c r="T8" i="30"/>
  <c r="I8" i="30"/>
  <c r="J8" i="30"/>
  <c r="K8" i="30"/>
  <c r="L8" i="30"/>
  <c r="M8" i="30"/>
  <c r="N8" i="30"/>
  <c r="O8" i="30"/>
  <c r="P8" i="30"/>
  <c r="Q8" i="30"/>
  <c r="R8" i="30"/>
  <c r="S8" i="30"/>
  <c r="U8" i="30"/>
  <c r="V8" i="30"/>
  <c r="W8" i="30"/>
  <c r="I76" i="27"/>
  <c r="I77" i="27"/>
  <c r="I78" i="27"/>
  <c r="J76" i="27"/>
  <c r="J77" i="27"/>
  <c r="J78" i="27"/>
  <c r="K76" i="27"/>
  <c r="K77" i="27"/>
  <c r="K78" i="27"/>
  <c r="L76" i="27"/>
  <c r="L77" i="27"/>
  <c r="L78" i="27"/>
  <c r="M76" i="27"/>
  <c r="M77" i="27"/>
  <c r="M78" i="27"/>
  <c r="N76" i="27"/>
  <c r="N77" i="27"/>
  <c r="N78" i="27"/>
  <c r="O76" i="27"/>
  <c r="O77" i="27"/>
  <c r="O78" i="27"/>
  <c r="P76" i="27"/>
  <c r="P77" i="27"/>
  <c r="P78" i="27"/>
  <c r="Q76" i="27"/>
  <c r="Q77" i="27"/>
  <c r="Q78" i="27"/>
  <c r="R76" i="27"/>
  <c r="R77" i="27"/>
  <c r="R78" i="27"/>
  <c r="S76" i="27"/>
  <c r="S77" i="27"/>
  <c r="S78" i="27"/>
  <c r="T76" i="27"/>
  <c r="T77" i="27"/>
  <c r="T78" i="27"/>
  <c r="U76" i="27"/>
  <c r="U77" i="27"/>
  <c r="U78" i="27"/>
  <c r="W76" i="27"/>
  <c r="W77" i="27"/>
  <c r="W78" i="27"/>
  <c r="Y76" i="27"/>
  <c r="Y77" i="27"/>
  <c r="Y78" i="27"/>
  <c r="I49" i="27"/>
  <c r="J49" i="27"/>
  <c r="K49" i="27"/>
  <c r="L49" i="27"/>
  <c r="M49" i="27"/>
  <c r="N49" i="27"/>
  <c r="O49" i="27"/>
  <c r="P49" i="27"/>
  <c r="Q49" i="27"/>
  <c r="R49" i="27"/>
  <c r="S49" i="27"/>
  <c r="T49" i="27"/>
  <c r="U49" i="27"/>
  <c r="W49" i="27"/>
  <c r="Y49" i="27"/>
  <c r="I43" i="27"/>
  <c r="I44" i="27"/>
  <c r="I46" i="27"/>
  <c r="I47" i="27"/>
  <c r="I50" i="27"/>
  <c r="J43" i="27"/>
  <c r="J44" i="27"/>
  <c r="J46" i="27"/>
  <c r="J47" i="27"/>
  <c r="J50" i="27"/>
  <c r="K43" i="27"/>
  <c r="K44" i="27"/>
  <c r="K46" i="27"/>
  <c r="K47" i="27"/>
  <c r="K50" i="27"/>
  <c r="L43" i="27"/>
  <c r="L44" i="27"/>
  <c r="L46" i="27"/>
  <c r="L47" i="27"/>
  <c r="L50" i="27"/>
  <c r="M43" i="27"/>
  <c r="M44" i="27"/>
  <c r="M46" i="27"/>
  <c r="M47" i="27"/>
  <c r="M50" i="27"/>
  <c r="N43" i="27"/>
  <c r="N44" i="27"/>
  <c r="N46" i="27"/>
  <c r="N47" i="27"/>
  <c r="N50" i="27"/>
  <c r="O43" i="27"/>
  <c r="O44" i="27"/>
  <c r="O46" i="27"/>
  <c r="O47" i="27"/>
  <c r="O50" i="27"/>
  <c r="P43" i="27"/>
  <c r="P44" i="27"/>
  <c r="P46" i="27"/>
  <c r="P47" i="27"/>
  <c r="P50" i="27"/>
  <c r="Q43" i="27"/>
  <c r="Q44" i="27"/>
  <c r="Q46" i="27"/>
  <c r="Q47" i="27"/>
  <c r="Q50" i="27"/>
  <c r="R43" i="27"/>
  <c r="R44" i="27"/>
  <c r="R46" i="27"/>
  <c r="R47" i="27"/>
  <c r="R50" i="27"/>
  <c r="S43" i="27"/>
  <c r="S44" i="27"/>
  <c r="S46" i="27"/>
  <c r="S47" i="27"/>
  <c r="S50" i="27"/>
  <c r="T43" i="27"/>
  <c r="T44" i="27"/>
  <c r="T46" i="27"/>
  <c r="T47" i="27"/>
  <c r="T50" i="27"/>
  <c r="U43" i="27"/>
  <c r="U44" i="27"/>
  <c r="U46" i="27"/>
  <c r="U47" i="27"/>
  <c r="U50" i="27"/>
  <c r="W43" i="27"/>
  <c r="W44" i="27"/>
  <c r="W46" i="27"/>
  <c r="W47" i="27"/>
  <c r="W50" i="27"/>
  <c r="Y43" i="27"/>
  <c r="Y44" i="27"/>
  <c r="Y46" i="27"/>
  <c r="Y47" i="27"/>
  <c r="Y50" i="27"/>
  <c r="Y72" i="27"/>
  <c r="W72" i="27"/>
  <c r="U72" i="27"/>
  <c r="T72" i="27"/>
  <c r="S72" i="27"/>
  <c r="R72" i="27"/>
  <c r="Q72" i="27"/>
  <c r="P72" i="27"/>
  <c r="O72" i="27"/>
  <c r="N72" i="27"/>
  <c r="M72" i="27"/>
  <c r="L72" i="27"/>
  <c r="K72" i="27"/>
  <c r="J72" i="27"/>
  <c r="I72" i="27"/>
  <c r="Y88" i="27"/>
  <c r="W88" i="27"/>
  <c r="U88" i="27"/>
  <c r="T88" i="27"/>
  <c r="S88" i="27"/>
  <c r="R88" i="27"/>
  <c r="Q88" i="27"/>
  <c r="P88" i="27"/>
  <c r="O88" i="27"/>
  <c r="N88" i="27"/>
  <c r="M88" i="27"/>
  <c r="L88" i="27"/>
  <c r="K88" i="27"/>
  <c r="I88" i="27"/>
  <c r="I74" i="27"/>
  <c r="J74" i="27"/>
  <c r="K74" i="27"/>
  <c r="L74" i="27"/>
  <c r="M74" i="27"/>
  <c r="N74" i="27"/>
  <c r="O74" i="27"/>
  <c r="P74" i="27"/>
  <c r="Q74" i="27"/>
  <c r="R74" i="27"/>
  <c r="S74" i="27"/>
  <c r="T74" i="27"/>
  <c r="U74" i="27"/>
  <c r="W74" i="27"/>
  <c r="Y74" i="27"/>
  <c r="I85" i="27"/>
  <c r="J85" i="27"/>
  <c r="K85" i="27"/>
  <c r="L85" i="27"/>
  <c r="M85" i="27"/>
  <c r="N85" i="27"/>
  <c r="O85" i="27"/>
  <c r="P85" i="27"/>
  <c r="Q85" i="27"/>
  <c r="R85" i="27"/>
  <c r="S85" i="27"/>
  <c r="T85" i="27"/>
  <c r="U85" i="27"/>
  <c r="W85" i="27"/>
  <c r="Y85" i="27"/>
  <c r="I61" i="27"/>
  <c r="J61" i="27"/>
  <c r="K61" i="27"/>
  <c r="L61" i="27"/>
  <c r="M61" i="27"/>
  <c r="N61" i="27"/>
  <c r="O61" i="27"/>
  <c r="P61" i="27"/>
  <c r="Q61" i="27"/>
  <c r="R61" i="27"/>
  <c r="S61" i="27"/>
  <c r="T61" i="27"/>
  <c r="U61" i="27"/>
  <c r="W61" i="27"/>
  <c r="Y61" i="27"/>
  <c r="I84" i="27"/>
  <c r="I87" i="27"/>
  <c r="J84" i="27"/>
  <c r="J87" i="27"/>
  <c r="K84" i="27"/>
  <c r="K87" i="27"/>
  <c r="L84" i="27"/>
  <c r="L87" i="27"/>
  <c r="M84" i="27"/>
  <c r="M87" i="27"/>
  <c r="N84" i="27"/>
  <c r="N87" i="27"/>
  <c r="O84" i="27"/>
  <c r="O87" i="27"/>
  <c r="P84" i="27"/>
  <c r="P87" i="27"/>
  <c r="Q84" i="27"/>
  <c r="Q87" i="27"/>
  <c r="R84" i="27"/>
  <c r="R87" i="27"/>
  <c r="S84" i="27"/>
  <c r="S87" i="27"/>
  <c r="T84" i="27"/>
  <c r="T87" i="27"/>
  <c r="U84" i="27"/>
  <c r="U87" i="27"/>
  <c r="W84" i="27"/>
  <c r="W87" i="27"/>
  <c r="Y84" i="27"/>
  <c r="Y87" i="27"/>
  <c r="I10" i="30"/>
  <c r="J10" i="30"/>
  <c r="K10" i="30"/>
  <c r="L10" i="30"/>
  <c r="M10" i="30"/>
  <c r="N10" i="30"/>
  <c r="O10" i="30"/>
  <c r="P10" i="30"/>
  <c r="Q10" i="30"/>
  <c r="R10" i="30"/>
  <c r="S10" i="30"/>
  <c r="T10" i="30"/>
  <c r="U10" i="30"/>
  <c r="V10" i="30"/>
  <c r="W10" i="30"/>
  <c r="I57" i="27"/>
  <c r="J57" i="27"/>
  <c r="K57" i="27"/>
  <c r="L57" i="27"/>
  <c r="M57" i="27"/>
  <c r="N57" i="27"/>
  <c r="O57" i="27"/>
  <c r="P57" i="27"/>
  <c r="Q57" i="27"/>
  <c r="R57" i="27"/>
  <c r="S57" i="27"/>
  <c r="T57" i="27"/>
  <c r="U57" i="27"/>
  <c r="W57" i="27"/>
  <c r="Y57" i="27"/>
  <c r="I56" i="27"/>
  <c r="J56" i="27"/>
  <c r="K56" i="27"/>
  <c r="L56" i="27"/>
  <c r="M56" i="27"/>
  <c r="N56" i="27"/>
  <c r="O56" i="27"/>
  <c r="P56" i="27"/>
  <c r="Q56" i="27"/>
  <c r="R56" i="27"/>
  <c r="S56" i="27"/>
  <c r="T56" i="27"/>
  <c r="U56" i="27"/>
  <c r="W56" i="27"/>
  <c r="Y56" i="27"/>
  <c r="I53" i="27"/>
  <c r="J53" i="27"/>
  <c r="K53" i="27"/>
  <c r="L53" i="27"/>
  <c r="M53" i="27"/>
  <c r="N53" i="27"/>
  <c r="O53" i="27"/>
  <c r="P53" i="27"/>
  <c r="Q53" i="27"/>
  <c r="R53" i="27"/>
  <c r="S53" i="27"/>
  <c r="T53" i="27"/>
  <c r="U53" i="27"/>
  <c r="W53" i="27"/>
  <c r="Y53" i="27"/>
  <c r="I54" i="27"/>
  <c r="I55" i="27"/>
  <c r="J54" i="27"/>
  <c r="J55" i="27"/>
  <c r="K54" i="27"/>
  <c r="K55" i="27"/>
  <c r="L54" i="27"/>
  <c r="L55" i="27"/>
  <c r="M54" i="27"/>
  <c r="M55" i="27"/>
  <c r="N54" i="27"/>
  <c r="N55" i="27"/>
  <c r="O54" i="27"/>
  <c r="O55" i="27"/>
  <c r="P54" i="27"/>
  <c r="P55" i="27"/>
  <c r="Q54" i="27"/>
  <c r="Q55" i="27"/>
  <c r="R54" i="27"/>
  <c r="R55" i="27"/>
  <c r="S54" i="27"/>
  <c r="S55" i="27"/>
  <c r="T54" i="27"/>
  <c r="T55" i="27"/>
  <c r="U54" i="27"/>
  <c r="U55" i="27"/>
  <c r="W54" i="27"/>
  <c r="W55" i="27"/>
  <c r="Y54" i="27"/>
  <c r="Y55" i="27"/>
  <c r="I51" i="27"/>
  <c r="J51" i="27"/>
  <c r="K51" i="27"/>
  <c r="L51" i="27"/>
  <c r="M51" i="27"/>
  <c r="N51" i="27"/>
  <c r="O51" i="27"/>
  <c r="P51" i="27"/>
  <c r="Q51" i="27"/>
  <c r="R51" i="27"/>
  <c r="S51" i="27"/>
  <c r="T51" i="27"/>
  <c r="U51" i="27"/>
  <c r="W51" i="27"/>
  <c r="Y51" i="27"/>
  <c r="I52" i="27"/>
  <c r="J52" i="27"/>
  <c r="K52" i="27"/>
  <c r="L52" i="27"/>
  <c r="M52" i="27"/>
  <c r="N52" i="27"/>
  <c r="O52" i="27"/>
  <c r="P52" i="27"/>
  <c r="Q52" i="27"/>
  <c r="R52" i="27"/>
  <c r="S52" i="27"/>
  <c r="T52" i="27"/>
  <c r="U52" i="27"/>
  <c r="W52" i="27"/>
  <c r="Y52" i="27"/>
  <c r="I58" i="27"/>
  <c r="I59" i="27"/>
  <c r="J58" i="27"/>
  <c r="J59" i="27"/>
  <c r="K58" i="27"/>
  <c r="K59" i="27"/>
  <c r="L58" i="27"/>
  <c r="L59" i="27"/>
  <c r="M58" i="27"/>
  <c r="M59" i="27"/>
  <c r="N58" i="27"/>
  <c r="N59" i="27"/>
  <c r="O58" i="27"/>
  <c r="O59" i="27"/>
  <c r="P58" i="27"/>
  <c r="P59" i="27"/>
  <c r="Q58" i="27"/>
  <c r="Q59" i="27"/>
  <c r="R58" i="27"/>
  <c r="R59" i="27"/>
  <c r="S58" i="27"/>
  <c r="S59" i="27"/>
  <c r="T58" i="27"/>
  <c r="T59" i="27"/>
  <c r="U58" i="27"/>
  <c r="U59" i="27"/>
  <c r="W58" i="27"/>
  <c r="W59" i="27"/>
  <c r="Y58" i="27"/>
  <c r="Y59" i="27"/>
  <c r="T4" i="30"/>
  <c r="T5" i="30"/>
  <c r="I4" i="30"/>
  <c r="I5" i="30"/>
  <c r="J4" i="30"/>
  <c r="J5" i="30"/>
  <c r="K4" i="30"/>
  <c r="K5" i="30"/>
  <c r="L4" i="30"/>
  <c r="L5" i="30"/>
  <c r="M4" i="30"/>
  <c r="M5" i="30"/>
  <c r="N4" i="30"/>
  <c r="N5" i="30"/>
  <c r="O4" i="30"/>
  <c r="O5" i="30"/>
  <c r="P4" i="30"/>
  <c r="P5" i="30"/>
  <c r="Q4" i="30"/>
  <c r="Q5" i="30"/>
  <c r="R4" i="30"/>
  <c r="R5" i="30"/>
  <c r="S4" i="30"/>
  <c r="S5" i="30"/>
  <c r="U4" i="30"/>
  <c r="U5" i="30"/>
  <c r="V4" i="30"/>
  <c r="V5" i="30"/>
  <c r="W4" i="30"/>
  <c r="W5" i="30"/>
  <c r="I83" i="27"/>
  <c r="J83" i="27"/>
  <c r="K83" i="27"/>
  <c r="L83" i="27"/>
  <c r="M83" i="27"/>
  <c r="N83" i="27"/>
  <c r="O83" i="27"/>
  <c r="P83" i="27"/>
  <c r="Q83" i="27"/>
  <c r="R83" i="27"/>
  <c r="S83" i="27"/>
  <c r="T83" i="27"/>
  <c r="U83" i="27"/>
  <c r="W83" i="27"/>
  <c r="Y83" i="27"/>
  <c r="I81" i="27"/>
  <c r="I82" i="27"/>
  <c r="J81" i="27"/>
  <c r="J82" i="27"/>
  <c r="K81" i="27"/>
  <c r="K82" i="27"/>
  <c r="L81" i="27"/>
  <c r="L82" i="27"/>
  <c r="M81" i="27"/>
  <c r="M82" i="27"/>
  <c r="N81" i="27"/>
  <c r="N82" i="27"/>
  <c r="O81" i="27"/>
  <c r="O82" i="27"/>
  <c r="P81" i="27"/>
  <c r="P82" i="27"/>
  <c r="Q81" i="27"/>
  <c r="Q82" i="27"/>
  <c r="R81" i="27"/>
  <c r="R82" i="27"/>
  <c r="S81" i="27"/>
  <c r="S82" i="27"/>
  <c r="T81" i="27"/>
  <c r="T82" i="27"/>
  <c r="U81" i="27"/>
  <c r="U82" i="27"/>
  <c r="W81" i="27"/>
  <c r="W82" i="27"/>
  <c r="Y81" i="27"/>
  <c r="Y82" i="27"/>
  <c r="Y2" i="27"/>
  <c r="Y3" i="27"/>
  <c r="Y7" i="27"/>
  <c r="Y8" i="27"/>
  <c r="Y9" i="27"/>
  <c r="Y5" i="27"/>
  <c r="W2" i="27"/>
  <c r="W3" i="27"/>
  <c r="W7" i="27"/>
  <c r="W8" i="27"/>
  <c r="W9" i="27"/>
  <c r="W5" i="27"/>
  <c r="V2" i="27"/>
  <c r="V3" i="27"/>
  <c r="V7" i="27"/>
  <c r="V8" i="27"/>
  <c r="V9" i="27"/>
  <c r="V5" i="27"/>
  <c r="U2" i="27"/>
  <c r="U3" i="27"/>
  <c r="U7" i="27"/>
  <c r="U8" i="27"/>
  <c r="U9" i="27"/>
  <c r="U5" i="27"/>
  <c r="T2" i="27"/>
  <c r="T3" i="27"/>
  <c r="T7" i="27"/>
  <c r="T8" i="27"/>
  <c r="T9" i="27"/>
  <c r="T5" i="27"/>
  <c r="S2" i="27"/>
  <c r="S3" i="27"/>
  <c r="S7" i="27"/>
  <c r="S8" i="27"/>
  <c r="S9" i="27"/>
  <c r="S5" i="27"/>
  <c r="R2" i="27"/>
  <c r="R3" i="27"/>
  <c r="R7" i="27"/>
  <c r="R8" i="27"/>
  <c r="R9" i="27"/>
  <c r="R5" i="27"/>
  <c r="Q2" i="27"/>
  <c r="Q3" i="27"/>
  <c r="Q7" i="27"/>
  <c r="Q8" i="27"/>
  <c r="Q9" i="27"/>
  <c r="Q5" i="27"/>
  <c r="P2" i="27"/>
  <c r="P3" i="27"/>
  <c r="P7" i="27"/>
  <c r="P8" i="27"/>
  <c r="P9" i="27"/>
  <c r="P5" i="27"/>
  <c r="O2" i="27"/>
  <c r="O3" i="27"/>
  <c r="O7" i="27"/>
  <c r="O8" i="27"/>
  <c r="O9" i="27"/>
  <c r="O5" i="27"/>
  <c r="N2" i="27"/>
  <c r="N3" i="27"/>
  <c r="N7" i="27"/>
  <c r="N8" i="27"/>
  <c r="N9" i="27"/>
  <c r="N5" i="27"/>
  <c r="M2" i="27"/>
  <c r="M3" i="27"/>
  <c r="M7" i="27"/>
  <c r="M8" i="27"/>
  <c r="M9" i="27"/>
  <c r="M5" i="27"/>
  <c r="L2" i="27"/>
  <c r="L3" i="27"/>
  <c r="L7" i="27"/>
  <c r="L8" i="27"/>
  <c r="L9" i="27"/>
  <c r="L5" i="27"/>
  <c r="K2" i="27"/>
  <c r="K3" i="27"/>
  <c r="K7" i="27"/>
  <c r="K8" i="27"/>
  <c r="K9" i="27"/>
  <c r="K5" i="27"/>
  <c r="J2" i="27"/>
  <c r="J3" i="27"/>
  <c r="J7" i="27"/>
  <c r="J8" i="27"/>
  <c r="J9" i="27"/>
  <c r="J5" i="27"/>
  <c r="W3" i="30"/>
  <c r="W2" i="30"/>
  <c r="W11" i="30"/>
  <c r="I5" i="27"/>
  <c r="I2" i="27"/>
  <c r="I3" i="27"/>
  <c r="I7" i="27"/>
  <c r="I8" i="27"/>
  <c r="I9" i="27"/>
  <c r="T2" i="30"/>
  <c r="I2" i="30"/>
  <c r="J2" i="30"/>
  <c r="K2" i="30"/>
  <c r="L2" i="30"/>
  <c r="M2" i="30"/>
  <c r="N2" i="30"/>
  <c r="O2" i="30"/>
  <c r="P2" i="30"/>
  <c r="Q2" i="30"/>
  <c r="R2" i="30"/>
  <c r="S2" i="30"/>
  <c r="U2" i="30"/>
  <c r="V2" i="30"/>
  <c r="I11" i="30"/>
  <c r="I3" i="30"/>
  <c r="V11" i="30"/>
  <c r="V3" i="30"/>
  <c r="U11" i="30"/>
  <c r="U3" i="30"/>
  <c r="T11" i="30"/>
  <c r="T3" i="30"/>
  <c r="S11" i="30"/>
  <c r="S3" i="30"/>
  <c r="R11" i="30"/>
  <c r="R3" i="30"/>
  <c r="K11" i="30"/>
  <c r="K3" i="30"/>
  <c r="L11" i="30"/>
  <c r="L3" i="30"/>
  <c r="M11" i="30"/>
  <c r="M3" i="30"/>
  <c r="N11" i="30"/>
  <c r="N3" i="30"/>
  <c r="O11" i="30"/>
  <c r="O3" i="30"/>
  <c r="P11" i="30"/>
  <c r="P3" i="30"/>
  <c r="Q11" i="30"/>
  <c r="Q3" i="30"/>
  <c r="J11" i="30"/>
  <c r="J3" i="30"/>
  <c r="V81" i="27"/>
  <c r="V87" i="27"/>
  <c r="V43" i="27"/>
  <c r="V49" i="27"/>
  <c r="V56" i="27"/>
  <c r="V61" i="27"/>
  <c r="V74" i="27"/>
  <c r="V76" i="27"/>
  <c r="V52" i="27"/>
  <c r="V72" i="27"/>
  <c r="V82" i="27"/>
  <c r="V88" i="27"/>
  <c r="V44" i="27"/>
  <c r="V50" i="27"/>
  <c r="V57" i="27"/>
  <c r="V77" i="27"/>
  <c r="V53" i="27"/>
  <c r="V54" i="27"/>
  <c r="V55" i="27"/>
  <c r="V83" i="27"/>
  <c r="V85" i="27"/>
  <c r="V46" i="27"/>
  <c r="V51" i="27"/>
  <c r="V58" i="27"/>
  <c r="V78" i="27"/>
  <c r="V84" i="27"/>
  <c r="V47" i="27"/>
  <c r="V59" i="27"/>
  <c r="X95" i="27"/>
  <c r="X101" i="27"/>
  <c r="X70" i="27"/>
  <c r="X15" i="27"/>
  <c r="X21" i="27"/>
  <c r="X87" i="27"/>
  <c r="X58" i="27"/>
  <c r="X6" i="27"/>
  <c r="X74" i="27"/>
  <c r="X64" i="27"/>
  <c r="X96" i="27"/>
  <c r="X60" i="27"/>
  <c r="X11" i="27"/>
  <c r="X22" i="27"/>
  <c r="X84" i="27"/>
  <c r="X9" i="27"/>
  <c r="X114" i="27"/>
  <c r="X40" i="27"/>
  <c r="X85" i="27"/>
  <c r="X89" i="27"/>
  <c r="X110" i="27"/>
  <c r="X79" i="27"/>
  <c r="X75" i="27"/>
  <c r="X44" i="27"/>
  <c r="X53" i="27"/>
  <c r="X45" i="27"/>
  <c r="X19" i="27"/>
  <c r="X108" i="27"/>
  <c r="X112" i="27"/>
  <c r="X94" i="27"/>
  <c r="X4" i="27"/>
  <c r="X37" i="27"/>
  <c r="X77" i="27"/>
  <c r="X52" i="27"/>
  <c r="X5" i="27"/>
  <c r="X67" i="27"/>
  <c r="X51" i="27"/>
  <c r="X30" i="27"/>
  <c r="X111" i="27"/>
  <c r="X36" i="27"/>
  <c r="X41" i="27"/>
  <c r="X26" i="27"/>
  <c r="X56" i="27"/>
  <c r="X116" i="27"/>
  <c r="X100" i="27"/>
  <c r="X17" i="27"/>
  <c r="X98" i="27"/>
  <c r="X109" i="27"/>
  <c r="X73" i="27"/>
  <c r="X13" i="27"/>
  <c r="X28" i="27"/>
  <c r="X49" i="27"/>
  <c r="X82" i="27"/>
  <c r="X66" i="27"/>
  <c r="X46" i="27"/>
  <c r="X20" i="27"/>
  <c r="X117" i="27"/>
  <c r="X71" i="27"/>
  <c r="X38" i="27"/>
  <c r="X24" i="27"/>
  <c r="X43" i="27"/>
  <c r="X57" i="27"/>
  <c r="X7" i="27"/>
  <c r="X14" i="27"/>
  <c r="X8" i="27"/>
  <c r="X115" i="27"/>
  <c r="X90" i="27"/>
  <c r="X68" i="27"/>
  <c r="X80" i="27"/>
  <c r="X50" i="27"/>
  <c r="X55" i="27"/>
  <c r="X105" i="27"/>
  <c r="X92" i="27"/>
  <c r="X27" i="27"/>
  <c r="X63" i="27"/>
  <c r="X91" i="27"/>
  <c r="X10" i="27"/>
  <c r="X42" i="27"/>
  <c r="X18" i="27"/>
  <c r="X61" i="27"/>
  <c r="X3" i="27"/>
  <c r="X62" i="27"/>
  <c r="X83" i="27"/>
  <c r="X29" i="27"/>
  <c r="X104" i="27"/>
  <c r="X39" i="27"/>
  <c r="X16" i="27"/>
  <c r="X23" i="27"/>
  <c r="X72" i="27"/>
  <c r="X81" i="27"/>
  <c r="X102" i="27"/>
  <c r="X88" i="27"/>
  <c r="X107" i="27"/>
  <c r="X106" i="27"/>
  <c r="X99" i="27"/>
  <c r="X12" i="27"/>
  <c r="X25" i="27"/>
  <c r="X47" i="27"/>
  <c r="X59" i="27"/>
  <c r="X93" i="27"/>
  <c r="X86" i="27"/>
  <c r="X76" i="27"/>
  <c r="X113" i="27"/>
  <c r="X103" i="27"/>
  <c r="X65" i="27"/>
  <c r="X48" i="27"/>
  <c r="X78" i="27"/>
  <c r="X54" i="27"/>
  <c r="X97" i="27"/>
  <c r="X69" i="27"/>
  <c r="X2" i="27"/>
</calcChain>
</file>

<file path=xl/sharedStrings.xml><?xml version="1.0" encoding="utf-8"?>
<sst xmlns="http://schemas.openxmlformats.org/spreadsheetml/2006/main" count="686" uniqueCount="237">
  <si>
    <t>Description</t>
  </si>
  <si>
    <t>Length</t>
  </si>
  <si>
    <t>Name</t>
  </si>
  <si>
    <t>table</t>
  </si>
  <si>
    <t/>
  </si>
  <si>
    <t>id</t>
  </si>
  <si>
    <t>string</t>
  </si>
  <si>
    <t>ref</t>
  </si>
  <si>
    <t>boolean</t>
  </si>
  <si>
    <t>datetime</t>
  </si>
  <si>
    <t>integer</t>
  </si>
  <si>
    <t>description</t>
  </si>
  <si>
    <t>name</t>
  </si>
  <si>
    <t>links</t>
  </si>
  <si>
    <t>Y</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</si>
  <si>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</si>
  <si>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</si>
  <si>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</si>
  <si>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</si>
  <si>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</si>
  <si>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</si>
  <si>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</si>
  <si>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</si>
  <si>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</si>
  <si>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</si>
  <si>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</si>
  <si>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</si>
  <si>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</si>
  <si>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</si>
  <si>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</si>
  <si>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</si>
  <si>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</si>
  <si>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</si>
  <si>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</si>
  <si>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</si>
  <si>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</si>
  <si>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</si>
  <si>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</si>
  <si>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</si>
  <si>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</si>
  <si>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</si>
  <si>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</si>
  <si>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</si>
  <si>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</si>
  <si>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</si>
  <si>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rg:dataset('paths.csv','Path')</t>
  </si>
  <si>
    <t>!Unique</t>
  </si>
  <si>
    <t>Unique</t>
  </si>
  <si>
    <t>binary</t>
  </si>
  <si>
    <t>float</t>
  </si>
  <si>
    <t>!permission</t>
  </si>
  <si>
    <t>x-codegen-permission</t>
  </si>
  <si>
    <t>effectiveDate</t>
  </si>
  <si>
    <t>endDate</t>
  </si>
  <si>
    <t>displayOrder</t>
  </si>
  <si>
    <t>reason</t>
  </si>
  <si>
    <t>The date/time the record became active.</t>
  </si>
  <si>
    <t>A foreign key reference to the VOType table.</t>
  </si>
  <si>
    <t>The Addressee Line of an official address.</t>
  </si>
  <si>
    <t>The Additional Delivery Info of an address</t>
  </si>
  <si>
    <t>unitNumber</t>
  </si>
  <si>
    <t>The unit number of the address.</t>
  </si>
  <si>
    <t>streetAddress</t>
  </si>
  <si>
    <t>The Street Address of the location.</t>
  </si>
  <si>
    <t>municipality</t>
  </si>
  <si>
    <t>The Municipality (city, town, etc.) of the address of the location.</t>
  </si>
  <si>
    <t>province</t>
  </si>
  <si>
    <t>The province of the location.</t>
  </si>
  <si>
    <t>postalCode</t>
  </si>
  <si>
    <t>The postal code of the location.</t>
  </si>
  <si>
    <t>latLong</t>
  </si>
  <si>
    <t>The latitude and longitude of the location, if known.</t>
  </si>
  <si>
    <t>The doing business as name of the business.</t>
  </si>
  <si>
    <t>isOnCommonList</t>
  </si>
  <si>
    <t>An abbreviation for this Jurisdiction, eg. BC.</t>
  </si>
  <si>
    <t>The full name of the jurisdication, eg. British Columbia</t>
  </si>
  <si>
    <t>The order of display of the Jurisdictions. In general, the order will be alpha, with the isOnCommonList is True entries grouped first.</t>
  </si>
  <si>
    <t>An indicator that a User Interface could use to display two versions of the list - a core list (e.g. Canadian entries only) that have this value as True, and an expanded list that includes all entries, regardless of the value of this field.</t>
  </si>
  <si>
    <t>A claim of a given type, issued by a known entite</t>
  </si>
  <si>
    <t>A foreign key reference into the VerfiedOrg table.</t>
  </si>
  <si>
    <t>A foreign key reference into the VOClaimType table.</t>
  </si>
  <si>
    <t>claimJSON</t>
  </si>
  <si>
    <t xml:space="preserve">The JSON for the claim as delivered from the </t>
  </si>
  <si>
    <t>A user friendly name for the claim type.</t>
  </si>
  <si>
    <t>The name of the organization that issued the claim.</t>
  </si>
  <si>
    <t>issuerURL</t>
  </si>
  <si>
    <t>The URL of the claim issuer organization.</t>
  </si>
  <si>
    <t>base64Logo</t>
  </si>
  <si>
    <t>A base64-encoded logo to display as a representation of the claim.</t>
  </si>
  <si>
    <t>The name of the organization that issues claim.</t>
  </si>
  <si>
    <t>issuerOrgURL</t>
  </si>
  <si>
    <t>A system-generated unique identifier for a Issuer Org Type.</t>
  </si>
  <si>
    <t>issuerOrgTLA</t>
  </si>
  <si>
    <t>An appreviation (aka Three Letter Acronym or TLA) of the organization that can be displayed where useful in a User Interface.</t>
  </si>
  <si>
    <t>A URL to the web presence of the claim issuing Organization.</t>
  </si>
  <si>
    <t>DID</t>
  </si>
  <si>
    <t>The DID of the claim issuing organization so that the organization can be accessed using the Self-Sovereign Identity network.</t>
  </si>
  <si>
    <t>jurisdictionId</t>
  </si>
  <si>
    <t>Jurisdiction</t>
  </si>
  <si>
    <t>A foreign key reference into the Jurisdiction table.</t>
  </si>
  <si>
    <t>A list of the possible Jurisdiction of an Organization.</t>
  </si>
  <si>
    <t>A system-generated unique identifier for a Jurisdiction</t>
  </si>
  <si>
    <t>jurisdictions</t>
  </si>
  <si>
    <t xml:space="preserve">A list of the possible reasons why a Claim might be inactive. </t>
  </si>
  <si>
    <t>shortReason</t>
  </si>
  <si>
    <t>inactiveClaimReasonId</t>
  </si>
  <si>
    <t>A foreign key reference into the IncactiveClaimReason table.</t>
  </si>
  <si>
    <t>A system-generated unique identifier for an Inactive Claim Reason.</t>
  </si>
  <si>
    <t>A short word/phrase for why a Claim is inactive.</t>
  </si>
  <si>
    <t>A full description for why a Claim is inactive.</t>
  </si>
  <si>
    <t>The date after which the Inactive Claim reason will no longer be used.</t>
  </si>
  <si>
    <t>The order of display Inactive Claim reason. In general, the order will be alpha.</t>
  </si>
  <si>
    <t>InactiveClaimReason</t>
  </si>
  <si>
    <t>IssuerService</t>
  </si>
  <si>
    <t>User</t>
  </si>
  <si>
    <t>Information about the users of the system.</t>
  </si>
  <si>
    <t>A system-generated unique identifier for a User.</t>
  </si>
  <si>
    <t>givenName</t>
  </si>
  <si>
    <t>Given name of the user.</t>
  </si>
  <si>
    <t>surname</t>
  </si>
  <si>
    <t>Surname of the user.</t>
  </si>
  <si>
    <t>email</t>
  </si>
  <si>
    <t>The email address of the user in the system.</t>
  </si>
  <si>
    <t>userId</t>
  </si>
  <si>
    <t>The text user ID of the user in the given Authorization Directory.</t>
  </si>
  <si>
    <t>guid</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</si>
  <si>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</si>
  <si>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authorizationDirectory</t>
  </si>
  <si>
    <t>The name of the Authorization Directory from with which the user Id is recorded.</t>
  </si>
  <si>
    <t>Role</t>
  </si>
  <si>
    <t>A table managed in the application by authorized users to create named Roles that can be assigned to Users as needed. Roles can be created as needed to support the users of the system and the roles they perform within the organization.</t>
  </si>
  <si>
    <t>A system-generated unique identifier for a Role.</t>
  </si>
  <si>
    <t>The name of the Role, as established by the user creating the role.</t>
  </si>
  <si>
    <t>A description of the role as set by the user creating/updating the role.</t>
  </si>
  <si>
    <t>UserRole</t>
  </si>
  <si>
    <t>A link defining the Roles associated with each User.</t>
  </si>
  <si>
    <t>A system-generated unique identifier for a UserRole.</t>
  </si>
  <si>
    <t>A foreign key reference to a User.</t>
  </si>
  <si>
    <t>A foreign key reference to a Role.</t>
  </si>
  <si>
    <t>Permission</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</si>
  <si>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</si>
  <si>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A system-generated unique identifier for a Permission.</t>
  </si>
  <si>
    <t>code</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</si>
  <si>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</si>
  <si>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</si>
  <si>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</si>
  <si>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RolePermission</t>
  </si>
  <si>
    <t>The collection of permissions included in a role.</t>
  </si>
  <si>
    <t>A system-generated unique identifier for a Role Permission.</t>
  </si>
  <si>
    <t>A foreign key reference to a Permission.</t>
  </si>
  <si>
    <t>users</t>
  </si>
  <si>
    <t>roles</t>
  </si>
  <si>
    <t>permissions</t>
  </si>
  <si>
    <t>rolepermissions</t>
  </si>
  <si>
    <t>inactiveclaimreasons</t>
  </si>
  <si>
    <t>issuerservices</t>
  </si>
  <si>
    <t>userroles</t>
  </si>
  <si>
    <t>roleId</t>
  </si>
  <si>
    <t>permissionId</t>
  </si>
  <si>
    <t>The date after which the IssuerOrg will no longer be used. The value is NULL if still active.</t>
  </si>
  <si>
    <t>The date after which the Jurisdiction will no longer be used. Null if the Jurisdiction is in active use.</t>
  </si>
  <si>
    <t>The date the claim was received.</t>
  </si>
  <si>
    <t>The date the claim was marked as no longer valid, either because it was replaced or revoked.</t>
  </si>
  <si>
    <t>The date upon which the Inactive Claim reason was activated for use.</t>
  </si>
  <si>
    <t>The date upon which the IssuerOrg was activated for use.</t>
  </si>
  <si>
    <t>The date upon which the Jurisdiction was activated for use.</t>
  </si>
  <si>
    <t>The date the record became inactive. A null in the field indicates the record is active.</t>
  </si>
  <si>
    <t>orgTypeId</t>
  </si>
  <si>
    <t>The date upon which the Role was activated for the user.</t>
  </si>
  <si>
    <t>The date after which the Role was no longer available to the user.</t>
  </si>
  <si>
    <t>The date upon which the User account was activated for use.</t>
  </si>
  <si>
    <t>The date after which the User could no longer be used.</t>
  </si>
  <si>
    <t>addressee</t>
  </si>
  <si>
    <t>addlDeliveryInfo</t>
  </si>
  <si>
    <t>abbrv</t>
  </si>
  <si>
    <t>orgId</t>
  </si>
  <si>
    <t>VerifiableOrg</t>
  </si>
  <si>
    <t>Information about a Verifiable organization in the database.</t>
  </si>
  <si>
    <t>A system-generated unique identifier for a Verifiable Organization.</t>
  </si>
  <si>
    <t>The Legal Name of the Verifiable Organization</t>
  </si>
  <si>
    <t xml:space="preserve">A list of the possible types of a Verifiable Organization, as defined by </t>
  </si>
  <si>
    <t>A system-generated unique identifier for a Verifiable Organization Type.</t>
  </si>
  <si>
    <t>The name of the type of Verifiable Organization, such as partnership, corporation, etc.</t>
  </si>
  <si>
    <t>End user help-text information about the Verifiable Organization type.</t>
  </si>
  <si>
    <t>The date upon which the Verifiable Organization type was activated for use.</t>
  </si>
  <si>
    <t>The date after which the Verifiable Organization type will no longer be used.</t>
  </si>
  <si>
    <t>The order of display of the Verifiable Organization type. In general, the order will be listed in the order of expected frequency.</t>
  </si>
  <si>
    <t>A location (name, address and geolocation) of a Verifiable Organization.</t>
  </si>
  <si>
    <t>A system-generated unique identifier for a Verifiable Org location.</t>
  </si>
  <si>
    <t>A foreign key reference to the Verifiable Organization table.</t>
  </si>
  <si>
    <t>A foreign key reference to the Verifiable Organization Location Type table.</t>
  </si>
  <si>
    <t>The date upon which the Verifiable Organization location was active</t>
  </si>
  <si>
    <t>The date after which the Verifiable Organization location is no longer active.</t>
  </si>
  <si>
    <t>A list of the possible types of a Verifiable Organization location</t>
  </si>
  <si>
    <t>A system-generated unique identifier for a Verifiable Organization Location Type.</t>
  </si>
  <si>
    <t>The name of the type of Verifiable Organization Location, such as headquarters, regional office, etc.</t>
  </si>
  <si>
    <t>End user help-text information about the Verifiable Organization Location type.</t>
  </si>
  <si>
    <t>The date upon which the Verifiable Organization Location type was activated for use.</t>
  </si>
  <si>
    <t>The date after which the Verifiable Organization Location type will no longer be used.</t>
  </si>
  <si>
    <t>The order of display of the Verifiable Organization Location type. In general, the order will be listed in the order of expected frequency.</t>
  </si>
  <si>
    <t>Names under which a Verifiable Organization is Doing Business.</t>
  </si>
  <si>
    <t>The date upon which the Verifiable Organization DBA record was activated for use.</t>
  </si>
  <si>
    <t>The date after which the Verifiable Organization DBA record will no longer be used.</t>
  </si>
  <si>
    <t>A system-generated unique identifier for a Verifiable Organization Claim.</t>
  </si>
  <si>
    <t>The date upon which the Verifiable Organization Claim type was activated for use.</t>
  </si>
  <si>
    <t>The date after which the Verifiable Organization Claim type will no longer be used.</t>
  </si>
  <si>
    <t>The list of Organizations that have issued claims to Verifiable Organizations that are stored in this repository.</t>
  </si>
  <si>
    <t>Location</t>
  </si>
  <si>
    <t>LocationType</t>
  </si>
  <si>
    <t>DoingBusinessAs</t>
  </si>
  <si>
    <t>VerifiableClaim</t>
  </si>
  <si>
    <t>The primary key for the Verifiable Organization. This is a value that is likely published to and known by the Verifiable Organzation and entites providing services to the organzation.</t>
  </si>
  <si>
    <t>dbaName</t>
  </si>
  <si>
    <t>VerifiableClaimType</t>
  </si>
  <si>
    <t>!IsModel?</t>
  </si>
  <si>
    <t>VerifiableOrgType</t>
  </si>
  <si>
    <t>verifiableorgs</t>
  </si>
  <si>
    <t>verifiableorgtypes</t>
  </si>
  <si>
    <t>locations</t>
  </si>
  <si>
    <t>locationtypes</t>
  </si>
  <si>
    <t>doingbusinessas</t>
  </si>
  <si>
    <t>verifiableclaims</t>
  </si>
  <si>
    <t>verifiableclaimtypes</t>
  </si>
  <si>
    <t>LocationOrg</t>
  </si>
  <si>
    <t>A table to connect locations to Verifiable Organizations and DoingBusinessAs</t>
  </si>
  <si>
    <t>A system-generated unique identifier for a Location Organization</t>
  </si>
  <si>
    <t>verifiableOrgId</t>
  </si>
  <si>
    <t>doingBusinessAsId</t>
  </si>
  <si>
    <t>An optional foreign key reference into the DoingBusinessAs table.</t>
  </si>
  <si>
    <t>locationId</t>
  </si>
  <si>
    <t>A foreign key reference into the Location table.</t>
  </si>
  <si>
    <t>issuerServiceId</t>
  </si>
  <si>
    <t>claimType</t>
  </si>
  <si>
    <t>locationTypeId</t>
  </si>
  <si>
    <t>locType</t>
  </si>
  <si>
    <t>legalName</t>
  </si>
  <si>
    <t>orgType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</si>
</sst>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b/>
      <sz val="11"/>
      <color theme="1"/>
      <name val="Calibri"/>
      <family val="2"/>
      <scheme val="minor"/>
    </font>
    <font>
      <b/>
      <sz val="12"/>
      <color theme="1"/>
      <name val="Calibri"/>
      <family val="2"/>
      <scheme val="minor"/>
    </font>
    <font>
      <sz val="11"/>
      <color theme="1"/>
      <name val="Calibri"/>
      <family val="2"/>
      <scheme val="minor"/>
    </font>
    <font>
      <sz val="12"/>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3" fillId="0" borderId="0"/>
    <xf numFmtId="0" fontId="12" fillId="0" borderId="0"/>
    <xf numFmtId="0" fontId="11" fillId="0" borderId="0"/>
  </cellStyleXfs>
  <cellXfs count="50">
    <xf numFmtId="0" fontId="0" fillId="0" borderId="0" xfId="0"/>
    <xf numFmtId="0" fontId="17" fillId="0" borderId="0" xfId="719" applyFont="1" applyAlignment="1">
      <alignment vertical="top"/>
    </xf>
    <xf numFmtId="0" fontId="17" fillId="0" borderId="0" xfId="719" applyFont="1" applyAlignment="1">
      <alignment vertical="top" wrapText="1"/>
    </xf>
    <xf numFmtId="0" fontId="13" fillId="0" borderId="0" xfId="719"/>
    <xf numFmtId="0" fontId="13" fillId="0" borderId="0" xfId="719" applyNumberFormat="1" applyAlignment="1">
      <alignment vertical="top"/>
    </xf>
    <xf numFmtId="0" fontId="13" fillId="0" borderId="0" xfId="719" applyAlignment="1">
      <alignment vertical="top"/>
    </xf>
    <xf numFmtId="0" fontId="13" fillId="0" borderId="0" xfId="719" applyAlignment="1">
      <alignment vertical="top" wrapText="1"/>
    </xf>
    <xf numFmtId="0" fontId="16" fillId="0" borderId="0" xfId="0" applyFont="1"/>
    <xf numFmtId="0" fontId="0" fillId="0" borderId="0" xfId="0" applyAlignment="1">
      <alignment vertical="top"/>
    </xf>
    <xf numFmtId="0" fontId="17" fillId="0" borderId="0" xfId="0" applyFont="1" applyAlignment="1">
      <alignment vertical="top"/>
    </xf>
    <xf numFmtId="0" fontId="13" fillId="0" borderId="0" xfId="719" applyFill="1" applyAlignment="1">
      <alignment vertical="top" wrapText="1"/>
    </xf>
    <xf numFmtId="0" fontId="13" fillId="0" borderId="0" xfId="719" applyNumberFormat="1" applyFill="1"/>
    <xf numFmtId="0" fontId="0" fillId="0" borderId="0" xfId="0" applyNumberFormat="1" applyAlignment="1">
      <alignment vertical="top"/>
    </xf>
    <xf numFmtId="0" fontId="10" fillId="0" borderId="0" xfId="719" applyFont="1"/>
    <xf numFmtId="0" fontId="10" fillId="0" borderId="0" xfId="719" applyFont="1" applyAlignment="1">
      <alignment vertical="top"/>
    </xf>
    <xf numFmtId="0" fontId="18" fillId="0" borderId="0" xfId="719" applyNumberFormat="1" applyFont="1" applyFill="1" applyAlignment="1">
      <alignment vertical="top"/>
    </xf>
    <xf numFmtId="0" fontId="10" fillId="0" borderId="0" xfId="719" applyFont="1" applyFill="1"/>
    <xf numFmtId="0" fontId="9" fillId="0" borderId="0" xfId="719" applyFont="1" applyAlignment="1">
      <alignment vertical="top"/>
    </xf>
    <xf numFmtId="0" fontId="8" fillId="0" borderId="0" xfId="719" applyFont="1"/>
    <xf numFmtId="0" fontId="8" fillId="0" borderId="0" xfId="719" applyFont="1" applyFill="1"/>
    <xf numFmtId="0" fontId="7" fillId="0" borderId="0" xfId="719" applyFont="1" applyAlignment="1">
      <alignment vertical="top"/>
    </xf>
    <xf numFmtId="0" fontId="6" fillId="0" borderId="0" xfId="719" applyFont="1" applyAlignment="1">
      <alignment vertical="top"/>
    </xf>
    <xf numFmtId="0" fontId="5" fillId="0" borderId="0" xfId="719" applyFont="1" applyAlignment="1">
      <alignment vertical="top"/>
    </xf>
    <xf numFmtId="0" fontId="5" fillId="0" borderId="0" xfId="719" applyFont="1" applyFill="1"/>
    <xf numFmtId="0" fontId="4" fillId="0" borderId="0" xfId="719" applyFont="1" applyAlignment="1">
      <alignment vertical="top"/>
    </xf>
    <xf numFmtId="0" fontId="4" fillId="0" borderId="0" xfId="719" applyFont="1" applyAlignment="1">
      <alignment vertical="top" wrapText="1"/>
    </xf>
    <xf numFmtId="0" fontId="4" fillId="0" borderId="0" xfId="719" applyFont="1"/>
    <xf numFmtId="0" fontId="3" fillId="0" borderId="0" xfId="719" applyFont="1" applyAlignment="1">
      <alignment vertical="top"/>
    </xf>
    <xf numFmtId="0" fontId="3" fillId="0" borderId="0" xfId="719" applyFont="1" applyFill="1"/>
    <xf numFmtId="0" fontId="19" fillId="0" borderId="0" xfId="719" applyFont="1" applyAlignment="1">
      <alignment vertical="top"/>
    </xf>
    <xf numFmtId="0" fontId="19" fillId="0" borderId="0" xfId="719" applyFont="1" applyAlignment="1">
      <alignment vertical="top" wrapText="1"/>
    </xf>
    <xf numFmtId="0" fontId="20" fillId="0" borderId="0" xfId="0" applyFont="1" applyAlignment="1">
      <alignment vertical="top"/>
    </xf>
    <xf numFmtId="0" fontId="19" fillId="0" borderId="0" xfId="0" applyFont="1" applyAlignment="1">
      <alignment vertical="top"/>
    </xf>
    <xf numFmtId="0" fontId="21" fillId="0" borderId="0" xfId="719" applyFont="1" applyAlignment="1">
      <alignment vertical="top"/>
    </xf>
    <xf numFmtId="0" fontId="21" fillId="0" borderId="0" xfId="719" applyFont="1" applyAlignment="1">
      <alignment vertical="top" wrapText="1"/>
    </xf>
    <xf numFmtId="0" fontId="21" fillId="0" borderId="0" xfId="719" applyNumberFormat="1" applyFont="1" applyAlignment="1">
      <alignment vertical="top"/>
    </xf>
    <xf numFmtId="0" fontId="22" fillId="0" borderId="0" xfId="0" applyFont="1" applyAlignment="1">
      <alignment vertical="top"/>
    </xf>
    <xf numFmtId="0" fontId="21" fillId="0" borderId="0" xfId="719" applyNumberFormat="1" applyFont="1" applyFill="1" applyAlignment="1">
      <alignment vertical="top"/>
    </xf>
    <xf numFmtId="0" fontId="22" fillId="0" borderId="0" xfId="0" applyNumberFormat="1" applyFont="1" applyAlignment="1">
      <alignment vertical="top"/>
    </xf>
    <xf numFmtId="0" fontId="21" fillId="0" borderId="0" xfId="719" applyNumberFormat="1" applyFont="1" applyAlignment="1">
      <alignment vertical="top" wrapText="1"/>
    </xf>
    <xf numFmtId="0" fontId="3" fillId="0" borderId="0" xfId="719" applyFont="1" applyAlignment="1">
      <alignment vertical="top" wrapText="1"/>
    </xf>
    <xf numFmtId="0" fontId="3" fillId="0" borderId="0" xfId="719" applyNumberFormat="1" applyFont="1" applyAlignment="1">
      <alignment vertical="top" wrapText="1"/>
    </xf>
    <xf numFmtId="0" fontId="2" fillId="0" borderId="0" xfId="719" applyFont="1" applyAlignment="1">
      <alignment vertical="top"/>
    </xf>
    <xf numFmtId="0" fontId="2" fillId="0" borderId="0" xfId="719" applyFont="1"/>
    <xf numFmtId="0" fontId="2" fillId="0" borderId="0" xfId="719" applyFont="1" applyFill="1"/>
    <xf numFmtId="0" fontId="13" fillId="0" borderId="0" xfId="719" applyNumberFormat="1" applyFill="1" applyAlignment="1">
      <alignment vertical="top"/>
    </xf>
    <xf numFmtId="0" fontId="2" fillId="0" borderId="0" xfId="719" applyNumberFormat="1" applyFont="1" applyAlignment="1">
      <alignment vertical="top" wrapText="1"/>
    </xf>
    <xf numFmtId="0" fontId="2" fillId="0" borderId="0" xfId="719" applyNumberFormat="1" applyFont="1" applyFill="1" applyAlignment="1">
      <alignment vertical="top"/>
    </xf>
    <xf numFmtId="0" fontId="2" fillId="0" borderId="0" xfId="719" applyFont="1" applyAlignment="1">
      <alignment vertical="top" wrapText="1"/>
    </xf>
    <xf numFmtId="0" fontId="1" fillId="0" borderId="0" xfId="719" applyFont="1" applyAlignment="1">
      <alignment vertical="top"/>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xr:uid="{00000000-0005-0000-0000-0000CF020000}"/>
    <cellStyle name="Normal 2 2" xfId="720" xr:uid="{00000000-0005-0000-0000-0000D0020000}"/>
    <cellStyle name="Normal 3" xfId="721" xr:uid="{00000000-0005-0000-0000-0000D1020000}"/>
  </cellStyles>
  <dxfs count="51">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1:Y117" totalsRowShown="0" headerRowDxfId="50" dataDxfId="49">
  <autoFilter ref="A1:Y117" xr:uid="{00000000-0009-0000-0100-000001000000}"/>
  <tableColumns count="25">
    <tableColumn id="1" xr3:uid="{00000000-0010-0000-0000-000001000000}" name="!Table" dataDxfId="48"/>
    <tableColumn id="2" xr3:uid="{00000000-0010-0000-0000-000002000000}" name="!Type" dataDxfId="47"/>
    <tableColumn id="6" xr3:uid="{00000000-0010-0000-0000-000006000000}" name="!Length" dataDxfId="46"/>
    <tableColumn id="3" xr3:uid="{00000000-0010-0000-0000-000003000000}" name="!Name" dataDxfId="45"/>
    <tableColumn id="4" xr3:uid="{00000000-0010-0000-0000-000004000000}" name="!Description" dataDxfId="44"/>
    <tableColumn id="7" xr3:uid="{00000000-0010-0000-0000-000007000000}" name="!FK" dataDxfId="43"/>
    <tableColumn id="10" xr3:uid="{00000000-0010-0000-0000-00000A000000}" name="!Required" dataDxfId="42" dataCellStyle="Normal 2"/>
    <tableColumn id="21" xr3:uid="{00000000-0010-0000-0000-000015000000}" name="!Unique" dataDxfId="41" dataCellStyle="Normal 2"/>
    <tableColumn id="9" xr3:uid="{00000000-0010-0000-0000-000009000000}" name="File" dataDxfId="40">
      <calculatedColumnFormula>IF(LEN(A2) &gt; 0,"Defs","-")</calculatedColumnFormula>
    </tableColumn>
    <tableColumn id="5" xr3:uid="{00000000-0010-0000-0000-000005000000}" name="boolean" dataDxfId="39">
      <calculatedColumnFormula>IF(Table2[[#This Row],[!Type]]=J$1, J$1,"rg:None")</calculatedColumnFormula>
    </tableColumn>
    <tableColumn id="24" xr3:uid="{00000000-0010-0000-0000-000018000000}" name="binary" dataDxfId="38">
      <calculatedColumnFormula>IF(Table2[[#This Row],[!Type]]=K$1, K$1,"rg:None")</calculatedColumnFormula>
    </tableColumn>
    <tableColumn id="8" xr3:uid="{00000000-0010-0000-0000-000008000000}" name="datetime" dataDxfId="37">
      <calculatedColumnFormula>IF(Table2[[#This Row],[!Type]]=L$1, L$1,"rg:None")</calculatedColumnFormula>
    </tableColumn>
    <tableColumn id="11" xr3:uid="{00000000-0010-0000-0000-00000B000000}" name="id" dataDxfId="36">
      <calculatedColumnFormula>IF(Table2[[#This Row],[!Type]]=M$1, M$1,"rg:None")</calculatedColumnFormula>
    </tableColumn>
    <tableColumn id="12" xr3:uid="{00000000-0010-0000-0000-00000C000000}" name="integer" dataDxfId="35">
      <calculatedColumnFormula>IF(Table2[[#This Row],[!Type]]=N$1, N$1,"rg:None")</calculatedColumnFormula>
    </tableColumn>
    <tableColumn id="25" xr3:uid="{00000000-0010-0000-0000-000019000000}" name="float" dataDxfId="34">
      <calculatedColumnFormula>IF(Table2[[#This Row],[!Type]]=O$1, O$1,"rg:None")</calculatedColumnFormula>
    </tableColumn>
    <tableColumn id="13" xr3:uid="{00000000-0010-0000-0000-00000D000000}" name="links" dataDxfId="33">
      <calculatedColumnFormula>IF(Table2[[#This Row],[!Type]]=P$1, P$1,"rg:None")</calculatedColumnFormula>
    </tableColumn>
    <tableColumn id="14" xr3:uid="{00000000-0010-0000-0000-00000E000000}" name="ref" dataDxfId="32">
      <calculatedColumnFormula>IF(Table2[[#This Row],[!Type]]=Q$1, Q$1,"rg:None")</calculatedColumnFormula>
    </tableColumn>
    <tableColumn id="15" xr3:uid="{00000000-0010-0000-0000-00000F000000}" name="string" dataDxfId="31">
      <calculatedColumnFormula>IF(Table2[[#This Row],[!Type]]=R$1, R$1,"rg:None")</calculatedColumnFormula>
    </tableColumn>
    <tableColumn id="16" xr3:uid="{00000000-0010-0000-0000-000010000000}" name="table" dataDxfId="30">
      <calculatedColumnFormula>IF(Table2[[#This Row],[!Type]]=S$1, S$1,"rg:None")</calculatedColumnFormula>
    </tableColumn>
    <tableColumn id="17" xr3:uid="{00000000-0010-0000-0000-000011000000}" name="Length" dataDxfId="29">
      <calculatedColumnFormula>IF(LEN(Table2[[#This Row],[!Length]]) &gt; 0, Table2[[#This Row],[!Length]], "rg:None")</calculatedColumnFormula>
    </tableColumn>
    <tableColumn id="18" xr3:uid="{00000000-0010-0000-0000-000012000000}" name="Name" dataDxfId="28">
      <calculatedColumnFormula>IF(LEN(Table2[[#This Row],[!Name]]) &gt; 0, Table2[[#This Row],[!Name]], "rg:None")</calculatedColumnFormula>
    </tableColumn>
    <tableColumn id="19" xr3:uid="{00000000-0010-0000-0000-000013000000}" name="Description" dataDxfId="27">
      <calculatedColumnFormula>IF(LEN(Table2[[#This Row],[!Description]]) &gt; 0, Table2[[#This Row],[!Description]], "rg:None")</calculatedColumnFormula>
    </tableColumn>
    <tableColumn id="20" xr3:uid="{00000000-0010-0000-0000-000014000000}" name="RefDef" dataDxfId="26">
      <calculatedColumnFormula>IF(LEN(Table2[[#This Row],[!FK]])&gt;0,Table2[[#This Row],[!FK]],"rg:None")</calculatedColumnFormula>
    </tableColumn>
    <tableColumn id="22" xr3:uid="{00000000-0010-0000-0000-000016000000}" name="Required" dataDxfId="25">
      <calculatedColumnFormula>IF(LEN(concatif2(A:A,Table2[[#This Row],[!Table]],G:G,"Y",D:D,",")) &gt; 0,"rg:[ { 'req' : '"&amp;concatif2(A:A,Table2[[#This Row],[!Table]],G:G,"Y",D:D,"' }, { 'req': '")&amp;"'} ]","rg:[]")</calculatedColumnFormula>
    </tableColumn>
    <tableColumn id="23" xr3:uid="{00000000-0010-0000-0000-000017000000}" name="Unique" dataDxfId="24">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3" displayName="Table23" ref="A1:W16" totalsRowShown="0" headerRowDxfId="23" dataDxfId="22">
  <autoFilter ref="A1:W16" xr:uid="{00000000-0009-0000-0100-000002000000}"/>
  <tableColumns count="23">
    <tableColumn id="1" xr3:uid="{00000000-0010-0000-0100-000001000000}" name="!type" dataDxfId="21"/>
    <tableColumn id="2" xr3:uid="{00000000-0010-0000-0100-000002000000}" name="!path" dataDxfId="20"/>
    <tableColumn id="6" xr3:uid="{00000000-0010-0000-0100-000006000000}" name="!tag" dataCellStyle="Normal 2"/>
    <tableColumn id="23" xr3:uid="{18BE4D17-773E-48C4-9B2E-2AB6F522B9CC}" name="!IsModel?" dataDxfId="19" dataCellStyle="Normal 2">
      <calculatedColumnFormula>IF(COUNTIF(defs.csv!A:A,Table23[[#This Row],[!tag]])=0,"ERROR: No Model Defined", "Model Defined")</calculatedColumnFormula>
    </tableColumn>
    <tableColumn id="3" xr3:uid="{00000000-0010-0000-0100-000003000000}" name="!paramDef" dataDxfId="18">
      <calculatedColumnFormula>LOWER(Table23[[#This Row],[!path]])&amp;"s"</calculatedColumnFormula>
    </tableColumn>
    <tableColumn id="21" xr3:uid="{00000000-0010-0000-0100-000015000000}" name="!permission" dataDxfId="17" dataCellStyle="Normal 2"/>
    <tableColumn id="4" xr3:uid="{00000000-0010-0000-0100-000004000000}" name="!respDef" dataDxfId="16" dataCellStyle="Normal 2"/>
    <tableColumn id="5" xr3:uid="{00000000-0010-0000-0100-000005000000}" name="!Description" dataDxfId="15" dataCellStyle="Normal 2"/>
    <tableColumn id="7" xr3:uid="{00000000-0010-0000-0100-000007000000}" name="File" dataDxfId="14">
      <calculatedColumnFormula>IF(LEN(A2) &gt;0,"Path","-")</calculatedColumnFormula>
    </tableColumn>
    <tableColumn id="8" xr3:uid="{00000000-0010-0000-0100-000008000000}" name="crud" dataDxfId="13">
      <calculatedColumnFormula>IF(LEN(Table23[[#This Row],[!type]])&gt;0,IF(Table23[[#This Row],[!type]]=J$1,"1","rg:None"),"-")</calculatedColumnFormula>
    </tableColumn>
    <tableColumn id="9" xr3:uid="{00000000-0010-0000-0100-000009000000}" name="post" dataDxfId="12">
      <calculatedColumnFormula>IF(LEN(Table23[[#This Row],[!type]])&gt;0,IF(Table23[[#This Row],[!type]]=K$1,"1","rg:None"),"-")</calculatedColumnFormula>
    </tableColumn>
    <tableColumn id="10" xr3:uid="{00000000-0010-0000-0100-00000A000000}" name="bulk" dataDxfId="11">
      <calculatedColumnFormula>IF(LEN(Table23[[#This Row],[!type]])&gt;0,IF(Table23[[#This Row],[!type]]=L$1,"1","rg:None"),"-")</calculatedColumnFormula>
    </tableColumn>
    <tableColumn id="11" xr3:uid="{00000000-0010-0000-0100-00000B000000}" name="getById" dataDxfId="10">
      <calculatedColumnFormula>IF(LEN(Table23[[#This Row],[!type]])&gt;0,IF(Table23[[#This Row],[!type]]=M$1,"1","rg:None"),"-")</calculatedColumnFormula>
    </tableColumn>
    <tableColumn id="12" xr3:uid="{00000000-0010-0000-0100-00000C000000}" name="putById" dataDxfId="9">
      <calculatedColumnFormula>IF(LEN(Table23[[#This Row],[!type]])&gt;0,IF(Table23[[#This Row],[!type]]=N$1,"1","rg:None"),"-")</calculatedColumnFormula>
    </tableColumn>
    <tableColumn id="13" xr3:uid="{00000000-0010-0000-0100-00000D000000}" name="deleteById" dataDxfId="8">
      <calculatedColumnFormula>IF(LEN(Table23[[#This Row],[!type]])&gt;0,IF(Table23[[#This Row],[!type]]=O$1,"1","rg:None"),"-")</calculatedColumnFormula>
    </tableColumn>
    <tableColumn id="14" xr3:uid="{00000000-0010-0000-0100-00000E000000}" name="fullpath" dataDxfId="7">
      <calculatedColumnFormula>IF(LEN(Table23[[#This Row],[!type]])&gt;0,IF(Table23[[#This Row],[!type]]=P$1,"1","rg:None"),"-")</calculatedColumnFormula>
    </tableColumn>
    <tableColumn id="15" xr3:uid="{00000000-0010-0000-0100-00000F000000}" name="idpath" dataDxfId="6">
      <calculatedColumnFormula>IF(LEN(Table23[[#This Row],[!type]])&gt;0,IF(Table23[[#This Row],[!type]]=Q$1,"1","rg:None"),"-")</calculatedColumnFormula>
    </tableColumn>
    <tableColumn id="16" xr3:uid="{00000000-0010-0000-0100-000010000000}" name="path" dataDxfId="5">
      <calculatedColumnFormula>IF(LEN(Table23[[#This Row],[!path]]) &gt;0,Table23[[#This Row],[!path]],"rg:None")</calculatedColumnFormula>
    </tableColumn>
    <tableColumn id="17" xr3:uid="{00000000-0010-0000-0100-000011000000}" name="tag" dataDxfId="4">
      <calculatedColumnFormula>IF(LEN(Table23[[#This Row],[!tag]]) &gt;0,Table23[[#This Row],[!tag]],"rg:None")</calculatedColumnFormula>
    </tableColumn>
    <tableColumn id="18" xr3:uid="{00000000-0010-0000-0100-000012000000}" name="paramDef" dataDxfId="3">
      <calculatedColumnFormula>IF(LEN(Table23[[#This Row],[!paramDef]]) &gt;0,Table23[[#This Row],[!paramDef]],"rg:None")</calculatedColumnFormula>
    </tableColumn>
    <tableColumn id="19" xr3:uid="{00000000-0010-0000-0100-000013000000}" name="respDef" dataDxfId="2">
      <calculatedColumnFormula>IF(LEN(Table23[[#This Row],[!respDef]]) &gt;0,Table23[[#This Row],[!respDef]],"rg:None")</calculatedColumnFormula>
    </tableColumn>
    <tableColumn id="20" xr3:uid="{00000000-0010-0000-0100-000014000000}" name="Description" dataDxfId="1">
      <calculatedColumnFormula>IF(LEN(Table23[[#This Row],[!Description]]) &gt;0,Table23[[#This Row],[!Description]],"rg:None")</calculatedColumnFormula>
    </tableColumn>
    <tableColumn id="22" xr3:uid="{00000000-0010-0000-0100-000016000000}"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Y117"/>
  <sheetViews>
    <sheetView tabSelected="1" zoomScaleNormal="100" workbookViewId="0">
      <pane ySplit="1" topLeftCell="A2" activePane="bottomLeft" state="frozen"/>
      <selection pane="bottomLeft" activeCell="A2" sqref="A2"/>
    </sheetView>
  </sheetViews>
  <sheetFormatPr defaultColWidth="8.69921875" defaultRowHeight="15.6" x14ac:dyDescent="0.3"/>
  <cols>
    <col min="1" max="1" width="23.19921875" style="33" bestFit="1" customWidth="1"/>
    <col min="2" max="2" width="8.69921875" style="33"/>
    <col min="3" max="3" width="8.19921875" style="33" customWidth="1"/>
    <col min="4" max="4" width="24.5" style="34" bestFit="1" customWidth="1"/>
    <col min="5" max="5" width="49.19921875" style="34" customWidth="1"/>
    <col min="6" max="6" width="23.19921875" style="33" bestFit="1" customWidth="1"/>
    <col min="7" max="7" width="10.296875" style="33" bestFit="1" customWidth="1"/>
    <col min="8" max="8" width="9" style="33" bestFit="1" customWidth="1"/>
    <col min="9" max="9" width="8.19921875" style="33" hidden="1" customWidth="1"/>
    <col min="10" max="22" width="8.69921875" style="33" hidden="1" customWidth="1"/>
    <col min="23" max="23" width="8.69921875" style="36" hidden="1" customWidth="1"/>
    <col min="24" max="24" width="8.69921875" style="33" hidden="1" customWidth="1"/>
    <col min="25" max="25" width="9" style="36" hidden="1" customWidth="1"/>
    <col min="26" max="16384" width="8.69921875" style="33"/>
  </cols>
  <sheetData>
    <row r="1" spans="1:25" s="29" customFormat="1" x14ac:dyDescent="0.3">
      <c r="A1" s="29" t="s">
        <v>39</v>
      </c>
      <c r="B1" s="29" t="s">
        <v>40</v>
      </c>
      <c r="C1" s="29" t="s">
        <v>41</v>
      </c>
      <c r="D1" s="29" t="s">
        <v>42</v>
      </c>
      <c r="E1" s="30" t="s">
        <v>38</v>
      </c>
      <c r="F1" s="30" t="s">
        <v>43</v>
      </c>
      <c r="G1" s="29" t="s">
        <v>17</v>
      </c>
      <c r="H1" s="29" t="s">
        <v>46</v>
      </c>
      <c r="I1" s="31" t="s">
        <v>15</v>
      </c>
      <c r="J1" s="32" t="s">
        <v>8</v>
      </c>
      <c r="K1" s="32" t="s">
        <v>48</v>
      </c>
      <c r="L1" s="32" t="s">
        <v>9</v>
      </c>
      <c r="M1" s="32" t="s">
        <v>5</v>
      </c>
      <c r="N1" s="32" t="s">
        <v>10</v>
      </c>
      <c r="O1" s="32" t="s">
        <v>49</v>
      </c>
      <c r="P1" s="32" t="s">
        <v>13</v>
      </c>
      <c r="Q1" s="32" t="s">
        <v>7</v>
      </c>
      <c r="R1" s="32" t="s">
        <v>6</v>
      </c>
      <c r="S1" s="32" t="s">
        <v>3</v>
      </c>
      <c r="T1" s="32" t="s">
        <v>1</v>
      </c>
      <c r="U1" s="32" t="s">
        <v>2</v>
      </c>
      <c r="V1" s="32" t="s">
        <v>0</v>
      </c>
      <c r="W1" s="32" t="s">
        <v>44</v>
      </c>
      <c r="X1" s="32" t="s">
        <v>16</v>
      </c>
      <c r="Y1" s="32" t="s">
        <v>47</v>
      </c>
    </row>
    <row r="2" spans="1:25" s="35" customFormat="1" x14ac:dyDescent="0.3">
      <c r="A2" s="27" t="s">
        <v>176</v>
      </c>
      <c r="B2" s="33" t="s">
        <v>3</v>
      </c>
      <c r="C2" s="33"/>
      <c r="D2" s="33" t="s">
        <v>176</v>
      </c>
      <c r="E2" s="34" t="s">
        <v>177</v>
      </c>
      <c r="F2" s="33" t="s">
        <v>4</v>
      </c>
      <c r="I2" s="36" t="str">
        <f t="shared" ref="I2:I15" si="0">IF(LEN(A2) &gt; 0,"Defs","-")</f>
        <v>Defs</v>
      </c>
      <c r="J2" s="36" t="str">
        <f>IF(Table2[[#This Row],[!Type]]=J$1, J$1,"rg:None")</f>
        <v>rg:None</v>
      </c>
      <c r="K2" s="36" t="str">
        <f>IF(Table2[[#This Row],[!Type]]=K$1, K$1,"rg:None")</f>
        <v>rg:None</v>
      </c>
      <c r="L2" s="36" t="str">
        <f>IF(Table2[[#This Row],[!Type]]=L$1, L$1,"rg:None")</f>
        <v>rg:None</v>
      </c>
      <c r="M2" s="36" t="str">
        <f>IF(Table2[[#This Row],[!Type]]=M$1, M$1,"rg:None")</f>
        <v>rg:None</v>
      </c>
      <c r="N2" s="36" t="str">
        <f>IF(Table2[[#This Row],[!Type]]=N$1, N$1,"rg:None")</f>
        <v>rg:None</v>
      </c>
      <c r="O2" s="36" t="str">
        <f>IF(Table2[[#This Row],[!Type]]=O$1, O$1,"rg:None")</f>
        <v>rg:None</v>
      </c>
      <c r="P2" s="36" t="str">
        <f>IF(Table2[[#This Row],[!Type]]=P$1, P$1,"rg:None")</f>
        <v>rg:None</v>
      </c>
      <c r="Q2" s="36" t="str">
        <f>IF(Table2[[#This Row],[!Type]]=Q$1, Q$1,"rg:None")</f>
        <v>rg:None</v>
      </c>
      <c r="R2" s="36" t="str">
        <f>IF(Table2[[#This Row],[!Type]]=R$1, R$1,"rg:None")</f>
        <v>rg:None</v>
      </c>
      <c r="S2" s="36" t="str">
        <f>IF(Table2[[#This Row],[!Type]]=S$1, S$1,"rg:None")</f>
        <v>table</v>
      </c>
      <c r="T2" s="36" t="str">
        <f>IF(LEN(Table2[[#This Row],[!Length]]) &gt; 0, Table2[[#This Row],[!Length]], "rg:None")</f>
        <v>rg:None</v>
      </c>
      <c r="U2" s="36" t="str">
        <f>IF(LEN(Table2[[#This Row],[!Name]]) &gt; 0, Table2[[#This Row],[!Name]], "rg:None")</f>
        <v>VerifiableOrg</v>
      </c>
      <c r="V2" s="36" t="str">
        <f>IF(LEN(Table2[[#This Row],[!Description]]) &gt; 0, Table2[[#This Row],[!Description]], "rg:None")</f>
        <v>Information about a Verifiable organization in the database.</v>
      </c>
      <c r="W2" s="36" t="str">
        <f>IF(LEN(Table2[[#This Row],[!FK]])&gt;0,Table2[[#This Row],[!FK]],"rg:None")</f>
        <v>rg:None</v>
      </c>
      <c r="X2" s="36" t="str">
        <f>IF(LEN(concatif2(A:A,Table2[[#This Row],[!Table]],G:G,"Y",D:D,",")) &gt; 0,"rg:[ { 'req' : '"&amp;concatif2(A:A,Table2[[#This Row],[!Table]],G:G,"Y",D:D,"' }, { 'req': '")&amp;"'} ]","rg:[]")</f>
        <v>rg:[ { 'req' : 'id' }, { 'req': 'orgId' }, { 'req': 'orgTypeId' }, { 'req': 'jurisdictionId' }, { 'req': 'legalName' }, { 'req': 'effectiveDate'} ]</v>
      </c>
      <c r="Y2" s="36" t="str">
        <f>IF(LEN(Table2[[#This Row],[!Unique]])&gt;0,IF(Table2[[#This Row],[!Type]] = "id", "rg:None","rg:True"),"rg:None")</f>
        <v>rg:None</v>
      </c>
    </row>
    <row r="3" spans="1:25" s="35" customFormat="1" ht="28.8" x14ac:dyDescent="0.3">
      <c r="A3" s="27" t="s">
        <v>176</v>
      </c>
      <c r="B3" s="33" t="s">
        <v>5</v>
      </c>
      <c r="C3" s="33"/>
      <c r="D3" s="33" t="s">
        <v>5</v>
      </c>
      <c r="E3" s="34" t="s">
        <v>178</v>
      </c>
      <c r="F3" s="33" t="s">
        <v>4</v>
      </c>
      <c r="G3" s="35" t="s">
        <v>14</v>
      </c>
      <c r="H3" s="35" t="s">
        <v>14</v>
      </c>
      <c r="I3" s="33" t="str">
        <f t="shared" si="0"/>
        <v>Defs</v>
      </c>
      <c r="J3" s="36" t="str">
        <f>IF(Table2[[#This Row],[!Type]]=J$1, J$1,"rg:None")</f>
        <v>rg:None</v>
      </c>
      <c r="K3" s="36" t="str">
        <f>IF(Table2[[#This Row],[!Type]]=K$1, K$1,"rg:None")</f>
        <v>rg:None</v>
      </c>
      <c r="L3" s="36" t="str">
        <f>IF(Table2[[#This Row],[!Type]]=L$1, L$1,"rg:None")</f>
        <v>rg:None</v>
      </c>
      <c r="M3" s="36" t="str">
        <f>IF(Table2[[#This Row],[!Type]]=M$1, M$1,"rg:None")</f>
        <v>id</v>
      </c>
      <c r="N3" s="36" t="str">
        <f>IF(Table2[[#This Row],[!Type]]=N$1, N$1,"rg:None")</f>
        <v>rg:None</v>
      </c>
      <c r="O3" s="36" t="str">
        <f>IF(Table2[[#This Row],[!Type]]=O$1, O$1,"rg:None")</f>
        <v>rg:None</v>
      </c>
      <c r="P3" s="33" t="str">
        <f>IF(Table2[[#This Row],[!Type]]=P$1, P$1,"rg:None")</f>
        <v>rg:None</v>
      </c>
      <c r="Q3" s="33" t="str">
        <f>IF(Table2[[#This Row],[!Type]]=Q$1, Q$1,"rg:None")</f>
        <v>rg:None</v>
      </c>
      <c r="R3" s="33" t="str">
        <f>IF(Table2[[#This Row],[!Type]]=R$1, R$1,"rg:None")</f>
        <v>rg:None</v>
      </c>
      <c r="S3" s="33" t="str">
        <f>IF(Table2[[#This Row],[!Type]]=S$1, S$1,"rg:None")</f>
        <v>rg:None</v>
      </c>
      <c r="T3" s="36" t="str">
        <f>IF(LEN(Table2[[#This Row],[!Length]]) &gt; 0, Table2[[#This Row],[!Length]], "rg:None")</f>
        <v>rg:None</v>
      </c>
      <c r="U3" s="36" t="str">
        <f>IF(LEN(Table2[[#This Row],[!Name]]) &gt; 0, Table2[[#This Row],[!Name]], "rg:None")</f>
        <v>id</v>
      </c>
      <c r="V3" s="36" t="str">
        <f>IF(LEN(Table2[[#This Row],[!Description]]) &gt; 0, Table2[[#This Row],[!Description]], "rg:None")</f>
        <v>A system-generated unique identifier for a Verifiable Organization.</v>
      </c>
      <c r="W3" s="36" t="str">
        <f>IF(LEN(Table2[[#This Row],[!FK]])&gt;0,Table2[[#This Row],[!FK]],"rg:None")</f>
        <v>rg:None</v>
      </c>
      <c r="X3" s="36" t="str">
        <f>IF(LEN(concatif2(A:A,Table2[[#This Row],[!Table]],G:G,"Y",D:D,",")) &gt; 0,"rg:[ { 'req' : '"&amp;concatif2(A:A,Table2[[#This Row],[!Table]],G:G,"Y",D:D,"' }, { 'req': '")&amp;"'} ]","rg:[]")</f>
        <v>rg:[ { 'req' : 'id' }, { 'req': 'orgId' }, { 'req': 'orgTypeId' }, { 'req': 'jurisdictionId' }, { 'req': 'legalName' }, { 'req': 'effectiveDate'} ]</v>
      </c>
      <c r="Y3" s="36" t="str">
        <f>IF(LEN(Table2[[#This Row],[!Unique]])&gt;0,IF(Table2[[#This Row],[!Type]] = "id", "rg:None","rg:True"),"rg:None")</f>
        <v>rg:None</v>
      </c>
    </row>
    <row r="4" spans="1:25" s="35" customFormat="1" ht="43.2" x14ac:dyDescent="0.3">
      <c r="A4" s="27" t="s">
        <v>176</v>
      </c>
      <c r="B4" s="33" t="s">
        <v>6</v>
      </c>
      <c r="C4" s="33"/>
      <c r="D4" s="27" t="s">
        <v>175</v>
      </c>
      <c r="E4" s="40" t="s">
        <v>211</v>
      </c>
      <c r="F4" s="34"/>
      <c r="G4" s="37" t="s">
        <v>14</v>
      </c>
      <c r="H4" s="37" t="s">
        <v>14</v>
      </c>
      <c r="I4" s="35" t="str">
        <f>IF(LEN(A4) &gt; 0,"Defs","-")</f>
        <v>Defs</v>
      </c>
      <c r="J4" s="38" t="str">
        <f>IF(Table2[[#This Row],[!Type]]=J$1, J$1,"rg:None")</f>
        <v>rg:None</v>
      </c>
      <c r="K4" s="38" t="str">
        <f>IF(Table2[[#This Row],[!Type]]=K$1, K$1,"rg:None")</f>
        <v>rg:None</v>
      </c>
      <c r="L4" s="38" t="str">
        <f>IF(Table2[[#This Row],[!Type]]=L$1, L$1,"rg:None")</f>
        <v>rg:None</v>
      </c>
      <c r="M4" s="38" t="str">
        <f>IF(Table2[[#This Row],[!Type]]=M$1, M$1,"rg:None")</f>
        <v>rg:None</v>
      </c>
      <c r="N4" s="38" t="str">
        <f>IF(Table2[[#This Row],[!Type]]=N$1, N$1,"rg:None")</f>
        <v>rg:None</v>
      </c>
      <c r="O4" s="38" t="str">
        <f>IF(Table2[[#This Row],[!Type]]=O$1, O$1,"rg:None")</f>
        <v>rg:None</v>
      </c>
      <c r="P4" s="35" t="str">
        <f>IF(Table2[[#This Row],[!Type]]=P$1, P$1,"rg:None")</f>
        <v>rg:None</v>
      </c>
      <c r="Q4" s="35" t="str">
        <f>IF(Table2[[#This Row],[!Type]]=Q$1, Q$1,"rg:None")</f>
        <v>rg:None</v>
      </c>
      <c r="R4" s="35" t="str">
        <f>IF(Table2[[#This Row],[!Type]]=R$1, R$1,"rg:None")</f>
        <v>string</v>
      </c>
      <c r="S4" s="35" t="str">
        <f>IF(Table2[[#This Row],[!Type]]=S$1, S$1,"rg:None")</f>
        <v>rg:None</v>
      </c>
      <c r="T4" s="38" t="str">
        <f>IF(LEN(Table2[[#This Row],[!Length]]) &gt; 0, Table2[[#This Row],[!Length]], "rg:None")</f>
        <v>rg:None</v>
      </c>
      <c r="U4" s="38" t="str">
        <f>IF(LEN(Table2[[#This Row],[!Name]]) &gt; 0, Table2[[#This Row],[!Name]], "rg:None")</f>
        <v>orgId</v>
      </c>
      <c r="V4" s="38" t="str">
        <f>IF(LEN(Table2[[#This Row],[!Description]]) &gt; 0, Table2[[#This Row],[!Description]], "rg:None")</f>
        <v>The primary key for the Verifiable Organization. This is a value that is likely published to and known by the Verifiable Organzation and entites providing services to the organzation.</v>
      </c>
      <c r="W4" s="38" t="str">
        <f>IF(LEN(Table2[[#This Row],[!FK]])&gt;0,Table2[[#This Row],[!FK]],"rg:None")</f>
        <v>rg:None</v>
      </c>
      <c r="X4" s="38" t="str">
        <f>IF(LEN(concatif2(A:A,Table2[[#This Row],[!Table]],G:G,"Y",D:D,",")) &gt; 0,"rg:[ { 'req' : '"&amp;concatif2(A:A,Table2[[#This Row],[!Table]],G:G,"Y",D:D,"' }, { 'req': '")&amp;"'} ]","rg:[]")</f>
        <v>rg:[ { 'req' : 'id' }, { 'req': 'orgId' }, { 'req': 'orgTypeId' }, { 'req': 'jurisdictionId' }, { 'req': 'legalName' }, { 'req': 'effectiveDate'} ]</v>
      </c>
      <c r="Y4" s="38" t="str">
        <f>IF(LEN(Table2[[#This Row],[!Unique]])&gt;0,IF(Table2[[#This Row],[!Type]] = "id", "rg:None","rg:True"),"rg:None")</f>
        <v>rg:True</v>
      </c>
    </row>
    <row r="5" spans="1:25" s="35" customFormat="1" ht="16.05" customHeight="1" x14ac:dyDescent="0.3">
      <c r="A5" s="27" t="s">
        <v>176</v>
      </c>
      <c r="B5" s="33" t="s">
        <v>7</v>
      </c>
      <c r="C5" s="33"/>
      <c r="D5" s="33" t="s">
        <v>167</v>
      </c>
      <c r="E5" s="34" t="s">
        <v>57</v>
      </c>
      <c r="F5" s="42" t="s">
        <v>215</v>
      </c>
      <c r="G5" s="37" t="s">
        <v>14</v>
      </c>
      <c r="H5" s="37"/>
      <c r="I5" s="35" t="str">
        <f>IF(LEN(A5) &gt; 0,"Defs","-")</f>
        <v>Defs</v>
      </c>
      <c r="J5" s="38" t="str">
        <f>IF(Table2[[#This Row],[!Type]]=J$1, J$1,"rg:None")</f>
        <v>rg:None</v>
      </c>
      <c r="K5" s="38" t="str">
        <f>IF(Table2[[#This Row],[!Type]]=K$1, K$1,"rg:None")</f>
        <v>rg:None</v>
      </c>
      <c r="L5" s="38" t="str">
        <f>IF(Table2[[#This Row],[!Type]]=L$1, L$1,"rg:None")</f>
        <v>rg:None</v>
      </c>
      <c r="M5" s="38" t="str">
        <f>IF(Table2[[#This Row],[!Type]]=M$1, M$1,"rg:None")</f>
        <v>rg:None</v>
      </c>
      <c r="N5" s="38" t="str">
        <f>IF(Table2[[#This Row],[!Type]]=N$1, N$1,"rg:None")</f>
        <v>rg:None</v>
      </c>
      <c r="O5" s="38" t="str">
        <f>IF(Table2[[#This Row],[!Type]]=O$1, O$1,"rg:None")</f>
        <v>rg:None</v>
      </c>
      <c r="P5" s="35" t="str">
        <f>IF(Table2[[#This Row],[!Type]]=P$1, P$1,"rg:None")</f>
        <v>rg:None</v>
      </c>
      <c r="Q5" s="35" t="str">
        <f>IF(Table2[[#This Row],[!Type]]=Q$1, Q$1,"rg:None")</f>
        <v>ref</v>
      </c>
      <c r="R5" s="35" t="str">
        <f>IF(Table2[[#This Row],[!Type]]=R$1, R$1,"rg:None")</f>
        <v>rg:None</v>
      </c>
      <c r="S5" s="35" t="str">
        <f>IF(Table2[[#This Row],[!Type]]=S$1, S$1,"rg:None")</f>
        <v>rg:None</v>
      </c>
      <c r="T5" s="38" t="str">
        <f>IF(LEN(Table2[[#This Row],[!Length]]) &gt; 0, Table2[[#This Row],[!Length]], "rg:None")</f>
        <v>rg:None</v>
      </c>
      <c r="U5" s="38" t="str">
        <f>IF(LEN(Table2[[#This Row],[!Name]]) &gt; 0, Table2[[#This Row],[!Name]], "rg:None")</f>
        <v>orgTypeId</v>
      </c>
      <c r="V5" s="38" t="str">
        <f>IF(LEN(Table2[[#This Row],[!Description]]) &gt; 0, Table2[[#This Row],[!Description]], "rg:None")</f>
        <v>A foreign key reference to the VOType table.</v>
      </c>
      <c r="W5" s="38" t="str">
        <f>IF(LEN(Table2[[#This Row],[!FK]])&gt;0,Table2[[#This Row],[!FK]],"rg:None")</f>
        <v>VerifiableOrgType</v>
      </c>
      <c r="X5" s="38" t="str">
        <f>IF(LEN(concatif2(A:A,Table2[[#This Row],[!Table]],G:G,"Y",D:D,",")) &gt; 0,"rg:[ { 'req' : '"&amp;concatif2(A:A,Table2[[#This Row],[!Table]],G:G,"Y",D:D,"' }, { 'req': '")&amp;"'} ]","rg:[]")</f>
        <v>rg:[ { 'req' : 'id' }, { 'req': 'orgId' }, { 'req': 'orgTypeId' }, { 'req': 'jurisdictionId' }, { 'req': 'legalName' }, { 'req': 'effectiveDate'} ]</v>
      </c>
      <c r="Y5" s="38" t="str">
        <f>IF(LEN(Table2[[#This Row],[!Unique]])&gt;0,IF(Table2[[#This Row],[!Type]] = "id", "rg:None","rg:True"),"rg:None")</f>
        <v>rg:None</v>
      </c>
    </row>
    <row r="6" spans="1:25" s="35" customFormat="1" x14ac:dyDescent="0.3">
      <c r="A6" s="27" t="s">
        <v>176</v>
      </c>
      <c r="B6" s="33" t="s">
        <v>7</v>
      </c>
      <c r="C6" s="33"/>
      <c r="D6" s="33" t="s">
        <v>97</v>
      </c>
      <c r="E6" s="34" t="s">
        <v>99</v>
      </c>
      <c r="F6" s="33" t="s">
        <v>98</v>
      </c>
      <c r="G6" s="37" t="s">
        <v>14</v>
      </c>
      <c r="H6" s="37"/>
      <c r="I6" s="35" t="str">
        <f>IF(LEN(A6) &gt; 0,"Defs","-")</f>
        <v>Defs</v>
      </c>
      <c r="J6" s="38" t="str">
        <f>IF(Table2[[#This Row],[!Type]]=J$1, J$1,"rg:None")</f>
        <v>rg:None</v>
      </c>
      <c r="K6" s="38" t="str">
        <f>IF(Table2[[#This Row],[!Type]]=K$1, K$1,"rg:None")</f>
        <v>rg:None</v>
      </c>
      <c r="L6" s="38" t="str">
        <f>IF(Table2[[#This Row],[!Type]]=L$1, L$1,"rg:None")</f>
        <v>rg:None</v>
      </c>
      <c r="M6" s="38" t="str">
        <f>IF(Table2[[#This Row],[!Type]]=M$1, M$1,"rg:None")</f>
        <v>rg:None</v>
      </c>
      <c r="N6" s="38" t="str">
        <f>IF(Table2[[#This Row],[!Type]]=N$1, N$1,"rg:None")</f>
        <v>rg:None</v>
      </c>
      <c r="O6" s="38" t="str">
        <f>IF(Table2[[#This Row],[!Type]]=O$1, O$1,"rg:None")</f>
        <v>rg:None</v>
      </c>
      <c r="P6" s="35" t="str">
        <f>IF(Table2[[#This Row],[!Type]]=P$1, P$1,"rg:None")</f>
        <v>rg:None</v>
      </c>
      <c r="Q6" s="35" t="str">
        <f>IF(Table2[[#This Row],[!Type]]=Q$1, Q$1,"rg:None")</f>
        <v>ref</v>
      </c>
      <c r="R6" s="35" t="str">
        <f>IF(Table2[[#This Row],[!Type]]=R$1, R$1,"rg:None")</f>
        <v>rg:None</v>
      </c>
      <c r="S6" s="35" t="str">
        <f>IF(Table2[[#This Row],[!Type]]=S$1, S$1,"rg:None")</f>
        <v>rg:None</v>
      </c>
      <c r="T6" s="38" t="str">
        <f>IF(LEN(Table2[[#This Row],[!Length]]) &gt; 0, Table2[[#This Row],[!Length]], "rg:None")</f>
        <v>rg:None</v>
      </c>
      <c r="U6" s="38" t="str">
        <f>IF(LEN(Table2[[#This Row],[!Name]]) &gt; 0, Table2[[#This Row],[!Name]], "rg:None")</f>
        <v>jurisdictionId</v>
      </c>
      <c r="V6" s="38" t="str">
        <f>IF(LEN(Table2[[#This Row],[!Description]]) &gt; 0, Table2[[#This Row],[!Description]], "rg:None")</f>
        <v>A foreign key reference into the Jurisdiction table.</v>
      </c>
      <c r="W6" s="38" t="str">
        <f>IF(LEN(Table2[[#This Row],[!FK]])&gt;0,Table2[[#This Row],[!FK]],"rg:None")</f>
        <v>Jurisdiction</v>
      </c>
      <c r="X6" s="38" t="str">
        <f>IF(LEN(concatif2(A:A,Table2[[#This Row],[!Table]],G:G,"Y",D:D,",")) &gt; 0,"rg:[ { 'req' : '"&amp;concatif2(A:A,Table2[[#This Row],[!Table]],G:G,"Y",D:D,"' }, { 'req': '")&amp;"'} ]","rg:[]")</f>
        <v>rg:[ { 'req' : 'id' }, { 'req': 'orgId' }, { 'req': 'orgTypeId' }, { 'req': 'jurisdictionId' }, { 'req': 'legalName' }, { 'req': 'effectiveDate'} ]</v>
      </c>
      <c r="Y6" s="38" t="str">
        <f>IF(LEN(Table2[[#This Row],[!Unique]])&gt;0,IF(Table2[[#This Row],[!Type]] = "id", "rg:None","rg:True"),"rg:None")</f>
        <v>rg:None</v>
      </c>
    </row>
    <row r="7" spans="1:25" s="35" customFormat="1" ht="16.05" customHeight="1" x14ac:dyDescent="0.3">
      <c r="A7" s="27" t="s">
        <v>176</v>
      </c>
      <c r="B7" s="33" t="s">
        <v>6</v>
      </c>
      <c r="C7" s="33"/>
      <c r="D7" s="42" t="s">
        <v>235</v>
      </c>
      <c r="E7" s="34" t="s">
        <v>179</v>
      </c>
      <c r="F7" s="33"/>
      <c r="G7" s="35" t="s">
        <v>14</v>
      </c>
      <c r="I7" s="33" t="str">
        <f t="shared" si="0"/>
        <v>Defs</v>
      </c>
      <c r="J7" s="36" t="str">
        <f>IF(Table2[[#This Row],[!Type]]=J$1, J$1,"rg:None")</f>
        <v>rg:None</v>
      </c>
      <c r="K7" s="36" t="str">
        <f>IF(Table2[[#This Row],[!Type]]=K$1, K$1,"rg:None")</f>
        <v>rg:None</v>
      </c>
      <c r="L7" s="36" t="str">
        <f>IF(Table2[[#This Row],[!Type]]=L$1, L$1,"rg:None")</f>
        <v>rg:None</v>
      </c>
      <c r="M7" s="36" t="str">
        <f>IF(Table2[[#This Row],[!Type]]=M$1, M$1,"rg:None")</f>
        <v>rg:None</v>
      </c>
      <c r="N7" s="36" t="str">
        <f>IF(Table2[[#This Row],[!Type]]=N$1, N$1,"rg:None")</f>
        <v>rg:None</v>
      </c>
      <c r="O7" s="36" t="str">
        <f>IF(Table2[[#This Row],[!Type]]=O$1, O$1,"rg:None")</f>
        <v>rg:None</v>
      </c>
      <c r="P7" s="33" t="str">
        <f>IF(Table2[[#This Row],[!Type]]=P$1, P$1,"rg:None")</f>
        <v>rg:None</v>
      </c>
      <c r="Q7" s="33" t="str">
        <f>IF(Table2[[#This Row],[!Type]]=Q$1, Q$1,"rg:None")</f>
        <v>rg:None</v>
      </c>
      <c r="R7" s="33" t="str">
        <f>IF(Table2[[#This Row],[!Type]]=R$1, R$1,"rg:None")</f>
        <v>string</v>
      </c>
      <c r="S7" s="33" t="str">
        <f>IF(Table2[[#This Row],[!Type]]=S$1, S$1,"rg:None")</f>
        <v>rg:None</v>
      </c>
      <c r="T7" s="36" t="str">
        <f>IF(LEN(Table2[[#This Row],[!Length]]) &gt; 0, Table2[[#This Row],[!Length]], "rg:None")</f>
        <v>rg:None</v>
      </c>
      <c r="U7" s="36" t="str">
        <f>IF(LEN(Table2[[#This Row],[!Name]]) &gt; 0, Table2[[#This Row],[!Name]], "rg:None")</f>
        <v>legalName</v>
      </c>
      <c r="V7" s="36" t="str">
        <f>IF(LEN(Table2[[#This Row],[!Description]]) &gt; 0, Table2[[#This Row],[!Description]], "rg:None")</f>
        <v>The Legal Name of the Verifiable Organization</v>
      </c>
      <c r="W7" s="36" t="str">
        <f>IF(LEN(Table2[[#This Row],[!FK]])&gt;0,Table2[[#This Row],[!FK]],"rg:None")</f>
        <v>rg:None</v>
      </c>
      <c r="X7" s="36" t="str">
        <f>IF(LEN(concatif2(A:A,Table2[[#This Row],[!Table]],G:G,"Y",D:D,",")) &gt; 0,"rg:[ { 'req' : '"&amp;concatif2(A:A,Table2[[#This Row],[!Table]],G:G,"Y",D:D,"' }, { 'req': '")&amp;"'} ]","rg:[]")</f>
        <v>rg:[ { 'req' : 'id' }, { 'req': 'orgId' }, { 'req': 'orgTypeId' }, { 'req': 'jurisdictionId' }, { 'req': 'legalName' }, { 'req': 'effectiveDate'} ]</v>
      </c>
      <c r="Y7" s="36" t="str">
        <f>IF(LEN(Table2[[#This Row],[!Unique]])&gt;0,IF(Table2[[#This Row],[!Type]] = "id", "rg:None","rg:True"),"rg:None")</f>
        <v>rg:None</v>
      </c>
    </row>
    <row r="8" spans="1:25" s="35" customFormat="1" ht="43.2" customHeight="1" x14ac:dyDescent="0.3">
      <c r="A8" s="27" t="s">
        <v>176</v>
      </c>
      <c r="B8" s="33" t="s">
        <v>9</v>
      </c>
      <c r="C8" s="33"/>
      <c r="D8" s="33" t="s">
        <v>52</v>
      </c>
      <c r="E8" s="34" t="s">
        <v>56</v>
      </c>
      <c r="F8" s="33"/>
      <c r="G8" s="35" t="s">
        <v>14</v>
      </c>
      <c r="I8" s="33" t="str">
        <f t="shared" si="0"/>
        <v>Defs</v>
      </c>
      <c r="J8" s="36" t="str">
        <f>IF(Table2[[#This Row],[!Type]]=J$1, J$1,"rg:None")</f>
        <v>rg:None</v>
      </c>
      <c r="K8" s="36" t="str">
        <f>IF(Table2[[#This Row],[!Type]]=K$1, K$1,"rg:None")</f>
        <v>rg:None</v>
      </c>
      <c r="L8" s="36" t="str">
        <f>IF(Table2[[#This Row],[!Type]]=L$1, L$1,"rg:None")</f>
        <v>datetime</v>
      </c>
      <c r="M8" s="36" t="str">
        <f>IF(Table2[[#This Row],[!Type]]=M$1, M$1,"rg:None")</f>
        <v>rg:None</v>
      </c>
      <c r="N8" s="36" t="str">
        <f>IF(Table2[[#This Row],[!Type]]=N$1, N$1,"rg:None")</f>
        <v>rg:None</v>
      </c>
      <c r="O8" s="36" t="str">
        <f>IF(Table2[[#This Row],[!Type]]=O$1, O$1,"rg:None")</f>
        <v>rg:None</v>
      </c>
      <c r="P8" s="33" t="str">
        <f>IF(Table2[[#This Row],[!Type]]=P$1, P$1,"rg:None")</f>
        <v>rg:None</v>
      </c>
      <c r="Q8" s="33" t="str">
        <f>IF(Table2[[#This Row],[!Type]]=Q$1, Q$1,"rg:None")</f>
        <v>rg:None</v>
      </c>
      <c r="R8" s="33" t="str">
        <f>IF(Table2[[#This Row],[!Type]]=R$1, R$1,"rg:None")</f>
        <v>rg:None</v>
      </c>
      <c r="S8" s="33" t="str">
        <f>IF(Table2[[#This Row],[!Type]]=S$1, S$1,"rg:None")</f>
        <v>rg:None</v>
      </c>
      <c r="T8" s="36" t="str">
        <f>IF(LEN(Table2[[#This Row],[!Length]]) &gt; 0, Table2[[#This Row],[!Length]], "rg:None")</f>
        <v>rg:None</v>
      </c>
      <c r="U8" s="36" t="str">
        <f>IF(LEN(Table2[[#This Row],[!Name]]) &gt; 0, Table2[[#This Row],[!Name]], "rg:None")</f>
        <v>effectiveDate</v>
      </c>
      <c r="V8" s="36" t="str">
        <f>IF(LEN(Table2[[#This Row],[!Description]]) &gt; 0, Table2[[#This Row],[!Description]], "rg:None")</f>
        <v>The date/time the record became active.</v>
      </c>
      <c r="W8" s="36" t="str">
        <f>IF(LEN(Table2[[#This Row],[!FK]])&gt;0,Table2[[#This Row],[!FK]],"rg:None")</f>
        <v>rg:None</v>
      </c>
      <c r="X8" s="36" t="str">
        <f>IF(LEN(concatif2(A:A,Table2[[#This Row],[!Table]],G:G,"Y",D:D,",")) &gt; 0,"rg:[ { 'req' : '"&amp;concatif2(A:A,Table2[[#This Row],[!Table]],G:G,"Y",D:D,"' }, { 'req': '")&amp;"'} ]","rg:[]")</f>
        <v>rg:[ { 'req' : 'id' }, { 'req': 'orgId' }, { 'req': 'orgTypeId' }, { 'req': 'jurisdictionId' }, { 'req': 'legalName' }, { 'req': 'effectiveDate'} ]</v>
      </c>
      <c r="Y8" s="36" t="str">
        <f>IF(LEN(Table2[[#This Row],[!Unique]])&gt;0,IF(Table2[[#This Row],[!Type]] = "id", "rg:None","rg:True"),"rg:None")</f>
        <v>rg:None</v>
      </c>
    </row>
    <row r="9" spans="1:25" s="35" customFormat="1" ht="28.8" customHeight="1" x14ac:dyDescent="0.3">
      <c r="A9" s="27" t="s">
        <v>176</v>
      </c>
      <c r="B9" s="33" t="s">
        <v>9</v>
      </c>
      <c r="C9" s="33"/>
      <c r="D9" s="33" t="s">
        <v>53</v>
      </c>
      <c r="E9" s="34" t="s">
        <v>166</v>
      </c>
      <c r="F9" s="33"/>
      <c r="I9" s="33" t="str">
        <f t="shared" si="0"/>
        <v>Defs</v>
      </c>
      <c r="J9" s="36" t="str">
        <f>IF(Table2[[#This Row],[!Type]]=J$1, J$1,"rg:None")</f>
        <v>rg:None</v>
      </c>
      <c r="K9" s="36" t="str">
        <f>IF(Table2[[#This Row],[!Type]]=K$1, K$1,"rg:None")</f>
        <v>rg:None</v>
      </c>
      <c r="L9" s="36" t="str">
        <f>IF(Table2[[#This Row],[!Type]]=L$1, L$1,"rg:None")</f>
        <v>datetime</v>
      </c>
      <c r="M9" s="36" t="str">
        <f>IF(Table2[[#This Row],[!Type]]=M$1, M$1,"rg:None")</f>
        <v>rg:None</v>
      </c>
      <c r="N9" s="36" t="str">
        <f>IF(Table2[[#This Row],[!Type]]=N$1, N$1,"rg:None")</f>
        <v>rg:None</v>
      </c>
      <c r="O9" s="36" t="str">
        <f>IF(Table2[[#This Row],[!Type]]=O$1, O$1,"rg:None")</f>
        <v>rg:None</v>
      </c>
      <c r="P9" s="33" t="str">
        <f>IF(Table2[[#This Row],[!Type]]=P$1, P$1,"rg:None")</f>
        <v>rg:None</v>
      </c>
      <c r="Q9" s="33" t="str">
        <f>IF(Table2[[#This Row],[!Type]]=Q$1, Q$1,"rg:None")</f>
        <v>rg:None</v>
      </c>
      <c r="R9" s="33" t="str">
        <f>IF(Table2[[#This Row],[!Type]]=R$1, R$1,"rg:None")</f>
        <v>rg:None</v>
      </c>
      <c r="S9" s="33" t="str">
        <f>IF(Table2[[#This Row],[!Type]]=S$1, S$1,"rg:None")</f>
        <v>rg:None</v>
      </c>
      <c r="T9" s="36" t="str">
        <f>IF(LEN(Table2[[#This Row],[!Length]]) &gt; 0, Table2[[#This Row],[!Length]], "rg:None")</f>
        <v>rg:None</v>
      </c>
      <c r="U9" s="36" t="str">
        <f>IF(LEN(Table2[[#This Row],[!Name]]) &gt; 0, Table2[[#This Row],[!Name]], "rg:None")</f>
        <v>endDate</v>
      </c>
      <c r="V9" s="36" t="str">
        <f>IF(LEN(Table2[[#This Row],[!Description]]) &gt; 0, Table2[[#This Row],[!Description]], "rg:None")</f>
        <v>The date the record became inactive. A null in the field indicates the record is active.</v>
      </c>
      <c r="W9" s="36" t="str">
        <f>IF(LEN(Table2[[#This Row],[!FK]])&gt;0,Table2[[#This Row],[!FK]],"rg:None")</f>
        <v>rg:None</v>
      </c>
      <c r="X9" s="36" t="str">
        <f>IF(LEN(concatif2(A:A,Table2[[#This Row],[!Table]],G:G,"Y",D:D,",")) &gt; 0,"rg:[ { 'req' : '"&amp;concatif2(A:A,Table2[[#This Row],[!Table]],G:G,"Y",D:D,"' }, { 'req': '")&amp;"'} ]","rg:[]")</f>
        <v>rg:[ { 'req' : 'id' }, { 'req': 'orgId' }, { 'req': 'orgTypeId' }, { 'req': 'jurisdictionId' }, { 'req': 'legalName' }, { 'req': 'effectiveDate'} ]</v>
      </c>
      <c r="Y9" s="36" t="str">
        <f>IF(LEN(Table2[[#This Row],[!Unique]])&gt;0,IF(Table2[[#This Row],[!Type]] = "id", "rg:None","rg:True"),"rg:None")</f>
        <v>rg:None</v>
      </c>
    </row>
    <row r="10" spans="1:25" s="35" customFormat="1" ht="28.8" customHeight="1" x14ac:dyDescent="0.3">
      <c r="A10" s="42" t="s">
        <v>215</v>
      </c>
      <c r="B10" s="33" t="s">
        <v>3</v>
      </c>
      <c r="C10" s="33"/>
      <c r="D10" s="42" t="s">
        <v>215</v>
      </c>
      <c r="E10" s="41" t="s">
        <v>180</v>
      </c>
      <c r="F10" s="34"/>
      <c r="G10" s="37"/>
      <c r="H10" s="37"/>
      <c r="I10" s="35" t="str">
        <f t="shared" si="0"/>
        <v>Defs</v>
      </c>
      <c r="J10" s="38" t="str">
        <f>IF(Table2[[#This Row],[!Type]]=J$1, J$1,"rg:None")</f>
        <v>rg:None</v>
      </c>
      <c r="K10" s="38" t="str">
        <f>IF(Table2[[#This Row],[!Type]]=K$1, K$1,"rg:None")</f>
        <v>rg:None</v>
      </c>
      <c r="L10" s="38" t="str">
        <f>IF(Table2[[#This Row],[!Type]]=L$1, L$1,"rg:None")</f>
        <v>rg:None</v>
      </c>
      <c r="M10" s="38" t="str">
        <f>IF(Table2[[#This Row],[!Type]]=M$1, M$1,"rg:None")</f>
        <v>rg:None</v>
      </c>
      <c r="N10" s="38" t="str">
        <f>IF(Table2[[#This Row],[!Type]]=N$1, N$1,"rg:None")</f>
        <v>rg:None</v>
      </c>
      <c r="O10" s="38" t="str">
        <f>IF(Table2[[#This Row],[!Type]]=O$1, O$1,"rg:None")</f>
        <v>rg:None</v>
      </c>
      <c r="P10" s="35" t="str">
        <f>IF(Table2[[#This Row],[!Type]]=P$1, P$1,"rg:None")</f>
        <v>rg:None</v>
      </c>
      <c r="Q10" s="35" t="str">
        <f>IF(Table2[[#This Row],[!Type]]=Q$1, Q$1,"rg:None")</f>
        <v>rg:None</v>
      </c>
      <c r="R10" s="35" t="str">
        <f>IF(Table2[[#This Row],[!Type]]=R$1, R$1,"rg:None")</f>
        <v>rg:None</v>
      </c>
      <c r="S10" s="35" t="str">
        <f>IF(Table2[[#This Row],[!Type]]=S$1, S$1,"rg:None")</f>
        <v>table</v>
      </c>
      <c r="T10" s="38" t="str">
        <f>IF(LEN(Table2[[#This Row],[!Length]]) &gt; 0, Table2[[#This Row],[!Length]], "rg:None")</f>
        <v>rg:None</v>
      </c>
      <c r="U10" s="38" t="str">
        <f>IF(LEN(Table2[[#This Row],[!Name]]) &gt; 0, Table2[[#This Row],[!Name]], "rg:None")</f>
        <v>VerifiableOrgType</v>
      </c>
      <c r="V10" s="38" t="str">
        <f>IF(LEN(Table2[[#This Row],[!Description]]) &gt; 0, Table2[[#This Row],[!Description]], "rg:None")</f>
        <v xml:space="preserve">A list of the possible types of a Verifiable Organization, as defined by </v>
      </c>
      <c r="W10" s="38" t="str">
        <f>IF(LEN(Table2[[#This Row],[!FK]])&gt;0,Table2[[#This Row],[!FK]],"rg:None")</f>
        <v>rg:None</v>
      </c>
      <c r="X10" s="38" t="str">
        <f>IF(LEN(concatif2(A:A,Table2[[#This Row],[!Table]],G:G,"Y",D:D,",")) &gt; 0,"rg:[ { 'req' : '"&amp;concatif2(A:A,Table2[[#This Row],[!Table]],G:G,"Y",D:D,"' }, { 'req': '")&amp;"'} ]","rg:[]")</f>
        <v>rg:[ { 'req' : 'id' }, { 'req': 'effectiveDate'} ]</v>
      </c>
      <c r="Y10" s="38" t="str">
        <f>IF(LEN(Table2[[#This Row],[!Unique]])&gt;0,IF(Table2[[#This Row],[!Type]] = "id", "rg:None","rg:True"),"rg:None")</f>
        <v>rg:None</v>
      </c>
    </row>
    <row r="11" spans="1:25" s="35" customFormat="1" ht="28.8" x14ac:dyDescent="0.3">
      <c r="A11" s="42" t="s">
        <v>215</v>
      </c>
      <c r="B11" s="33" t="s">
        <v>5</v>
      </c>
      <c r="C11" s="33"/>
      <c r="D11" s="33" t="s">
        <v>5</v>
      </c>
      <c r="E11" s="39" t="s">
        <v>181</v>
      </c>
      <c r="F11" s="34"/>
      <c r="G11" s="37" t="s">
        <v>14</v>
      </c>
      <c r="H11" s="37" t="s">
        <v>14</v>
      </c>
      <c r="I11" s="35" t="str">
        <f t="shared" si="0"/>
        <v>Defs</v>
      </c>
      <c r="J11" s="38" t="str">
        <f>IF(Table2[[#This Row],[!Type]]=J$1, J$1,"rg:None")</f>
        <v>rg:None</v>
      </c>
      <c r="K11" s="38" t="str">
        <f>IF(Table2[[#This Row],[!Type]]=K$1, K$1,"rg:None")</f>
        <v>rg:None</v>
      </c>
      <c r="L11" s="38" t="str">
        <f>IF(Table2[[#This Row],[!Type]]=L$1, L$1,"rg:None")</f>
        <v>rg:None</v>
      </c>
      <c r="M11" s="38" t="str">
        <f>IF(Table2[[#This Row],[!Type]]=M$1, M$1,"rg:None")</f>
        <v>id</v>
      </c>
      <c r="N11" s="38" t="str">
        <f>IF(Table2[[#This Row],[!Type]]=N$1, N$1,"rg:None")</f>
        <v>rg:None</v>
      </c>
      <c r="O11" s="38" t="str">
        <f>IF(Table2[[#This Row],[!Type]]=O$1, O$1,"rg:None")</f>
        <v>rg:None</v>
      </c>
      <c r="P11" s="35" t="str">
        <f>IF(Table2[[#This Row],[!Type]]=P$1, P$1,"rg:None")</f>
        <v>rg:None</v>
      </c>
      <c r="Q11" s="35" t="str">
        <f>IF(Table2[[#This Row],[!Type]]=Q$1, Q$1,"rg:None")</f>
        <v>rg:None</v>
      </c>
      <c r="R11" s="35" t="str">
        <f>IF(Table2[[#This Row],[!Type]]=R$1, R$1,"rg:None")</f>
        <v>rg:None</v>
      </c>
      <c r="S11" s="35" t="str">
        <f>IF(Table2[[#This Row],[!Type]]=S$1, S$1,"rg:None")</f>
        <v>rg:None</v>
      </c>
      <c r="T11" s="38" t="str">
        <f>IF(LEN(Table2[[#This Row],[!Length]]) &gt; 0, Table2[[#This Row],[!Length]], "rg:None")</f>
        <v>rg:None</v>
      </c>
      <c r="U11" s="38" t="str">
        <f>IF(LEN(Table2[[#This Row],[!Name]]) &gt; 0, Table2[[#This Row],[!Name]], "rg:None")</f>
        <v>id</v>
      </c>
      <c r="V11" s="38" t="str">
        <f>IF(LEN(Table2[[#This Row],[!Description]]) &gt; 0, Table2[[#This Row],[!Description]], "rg:None")</f>
        <v>A system-generated unique identifier for a Verifiable Organization Type.</v>
      </c>
      <c r="W11" s="38" t="str">
        <f>IF(LEN(Table2[[#This Row],[!FK]])&gt;0,Table2[[#This Row],[!FK]],"rg:None")</f>
        <v>rg:None</v>
      </c>
      <c r="X11" s="38" t="str">
        <f>IF(LEN(concatif2(A:A,Table2[[#This Row],[!Table]],G:G,"Y",D:D,",")) &gt; 0,"rg:[ { 'req' : '"&amp;concatif2(A:A,Table2[[#This Row],[!Table]],G:G,"Y",D:D,"' }, { 'req': '")&amp;"'} ]","rg:[]")</f>
        <v>rg:[ { 'req' : 'id' }, { 'req': 'effectiveDate'} ]</v>
      </c>
      <c r="Y11" s="38" t="str">
        <f>IF(LEN(Table2[[#This Row],[!Unique]])&gt;0,IF(Table2[[#This Row],[!Type]] = "id", "rg:None","rg:True"),"rg:None")</f>
        <v>rg:None</v>
      </c>
    </row>
    <row r="12" spans="1:25" s="35" customFormat="1" ht="28.8" customHeight="1" x14ac:dyDescent="0.3">
      <c r="A12" s="42" t="s">
        <v>215</v>
      </c>
      <c r="B12" s="33" t="s">
        <v>6</v>
      </c>
      <c r="C12" s="33"/>
      <c r="D12" s="49" t="s">
        <v>236</v>
      </c>
      <c r="E12" s="39" t="s">
        <v>182</v>
      </c>
      <c r="F12" s="34"/>
      <c r="G12" s="37"/>
      <c r="H12" s="37"/>
      <c r="I12" s="35" t="str">
        <f t="shared" si="0"/>
        <v>Defs</v>
      </c>
      <c r="J12" s="38" t="str">
        <f>IF(Table2[[#This Row],[!Type]]=J$1, J$1,"rg:None")</f>
        <v>rg:None</v>
      </c>
      <c r="K12" s="38" t="str">
        <f>IF(Table2[[#This Row],[!Type]]=K$1, K$1,"rg:None")</f>
        <v>rg:None</v>
      </c>
      <c r="L12" s="38" t="str">
        <f>IF(Table2[[#This Row],[!Type]]=L$1, L$1,"rg:None")</f>
        <v>rg:None</v>
      </c>
      <c r="M12" s="38" t="str">
        <f>IF(Table2[[#This Row],[!Type]]=M$1, M$1,"rg:None")</f>
        <v>rg:None</v>
      </c>
      <c r="N12" s="38" t="str">
        <f>IF(Table2[[#This Row],[!Type]]=N$1, N$1,"rg:None")</f>
        <v>rg:None</v>
      </c>
      <c r="O12" s="38" t="str">
        <f>IF(Table2[[#This Row],[!Type]]=O$1, O$1,"rg:None")</f>
        <v>rg:None</v>
      </c>
      <c r="P12" s="35" t="str">
        <f>IF(Table2[[#This Row],[!Type]]=P$1, P$1,"rg:None")</f>
        <v>rg:None</v>
      </c>
      <c r="Q12" s="35" t="str">
        <f>IF(Table2[[#This Row],[!Type]]=Q$1, Q$1,"rg:None")</f>
        <v>rg:None</v>
      </c>
      <c r="R12" s="35" t="str">
        <f>IF(Table2[[#This Row],[!Type]]=R$1, R$1,"rg:None")</f>
        <v>string</v>
      </c>
      <c r="S12" s="35" t="str">
        <f>IF(Table2[[#This Row],[!Type]]=S$1, S$1,"rg:None")</f>
        <v>rg:None</v>
      </c>
      <c r="T12" s="38" t="str">
        <f>IF(LEN(Table2[[#This Row],[!Length]]) &gt; 0, Table2[[#This Row],[!Length]], "rg:None")</f>
        <v>rg:None</v>
      </c>
      <c r="U12" s="38" t="str">
        <f>IF(LEN(Table2[[#This Row],[!Name]]) &gt; 0, Table2[[#This Row],[!Name]], "rg:None")</f>
        <v>orgType</v>
      </c>
      <c r="V12" s="38" t="str">
        <f>IF(LEN(Table2[[#This Row],[!Description]]) &gt; 0, Table2[[#This Row],[!Description]], "rg:None")</f>
        <v>The name of the type of Verifiable Organization, such as partnership, corporation, etc.</v>
      </c>
      <c r="W12" s="38" t="str">
        <f>IF(LEN(Table2[[#This Row],[!FK]])&gt;0,Table2[[#This Row],[!FK]],"rg:None")</f>
        <v>rg:None</v>
      </c>
      <c r="X12" s="38" t="str">
        <f>IF(LEN(concatif2(A:A,Table2[[#This Row],[!Table]],G:G,"Y",D:D,",")) &gt; 0,"rg:[ { 'req' : '"&amp;concatif2(A:A,Table2[[#This Row],[!Table]],G:G,"Y",D:D,"' }, { 'req': '")&amp;"'} ]","rg:[]")</f>
        <v>rg:[ { 'req' : 'id' }, { 'req': 'effectiveDate'} ]</v>
      </c>
      <c r="Y12" s="38" t="str">
        <f>IF(LEN(Table2[[#This Row],[!Unique]])&gt;0,IF(Table2[[#This Row],[!Type]] = "id", "rg:None","rg:True"),"rg:None")</f>
        <v>rg:None</v>
      </c>
    </row>
    <row r="13" spans="1:25" s="35" customFormat="1" ht="28.8" customHeight="1" x14ac:dyDescent="0.3">
      <c r="A13" s="42" t="s">
        <v>215</v>
      </c>
      <c r="B13" s="33" t="s">
        <v>6</v>
      </c>
      <c r="C13" s="33"/>
      <c r="D13" s="33" t="s">
        <v>11</v>
      </c>
      <c r="E13" s="39" t="s">
        <v>183</v>
      </c>
      <c r="F13" s="34"/>
      <c r="G13" s="37"/>
      <c r="H13" s="37"/>
      <c r="I13" s="35" t="str">
        <f t="shared" si="0"/>
        <v>Defs</v>
      </c>
      <c r="J13" s="38" t="str">
        <f>IF(Table2[[#This Row],[!Type]]=J$1, J$1,"rg:None")</f>
        <v>rg:None</v>
      </c>
      <c r="K13" s="38" t="str">
        <f>IF(Table2[[#This Row],[!Type]]=K$1, K$1,"rg:None")</f>
        <v>rg:None</v>
      </c>
      <c r="L13" s="38" t="str">
        <f>IF(Table2[[#This Row],[!Type]]=L$1, L$1,"rg:None")</f>
        <v>rg:None</v>
      </c>
      <c r="M13" s="38" t="str">
        <f>IF(Table2[[#This Row],[!Type]]=M$1, M$1,"rg:None")</f>
        <v>rg:None</v>
      </c>
      <c r="N13" s="38" t="str">
        <f>IF(Table2[[#This Row],[!Type]]=N$1, N$1,"rg:None")</f>
        <v>rg:None</v>
      </c>
      <c r="O13" s="38" t="str">
        <f>IF(Table2[[#This Row],[!Type]]=O$1, O$1,"rg:None")</f>
        <v>rg:None</v>
      </c>
      <c r="P13" s="35" t="str">
        <f>IF(Table2[[#This Row],[!Type]]=P$1, P$1,"rg:None")</f>
        <v>rg:None</v>
      </c>
      <c r="Q13" s="35" t="str">
        <f>IF(Table2[[#This Row],[!Type]]=Q$1, Q$1,"rg:None")</f>
        <v>rg:None</v>
      </c>
      <c r="R13" s="35" t="str">
        <f>IF(Table2[[#This Row],[!Type]]=R$1, R$1,"rg:None")</f>
        <v>string</v>
      </c>
      <c r="S13" s="35" t="str">
        <f>IF(Table2[[#This Row],[!Type]]=S$1, S$1,"rg:None")</f>
        <v>rg:None</v>
      </c>
      <c r="T13" s="38" t="str">
        <f>IF(LEN(Table2[[#This Row],[!Length]]) &gt; 0, Table2[[#This Row],[!Length]], "rg:None")</f>
        <v>rg:None</v>
      </c>
      <c r="U13" s="38" t="str">
        <f>IF(LEN(Table2[[#This Row],[!Name]]) &gt; 0, Table2[[#This Row],[!Name]], "rg:None")</f>
        <v>description</v>
      </c>
      <c r="V13" s="38" t="str">
        <f>IF(LEN(Table2[[#This Row],[!Description]]) &gt; 0, Table2[[#This Row],[!Description]], "rg:None")</f>
        <v>End user help-text information about the Verifiable Organization type.</v>
      </c>
      <c r="W13" s="38" t="str">
        <f>IF(LEN(Table2[[#This Row],[!FK]])&gt;0,Table2[[#This Row],[!FK]],"rg:None")</f>
        <v>rg:None</v>
      </c>
      <c r="X13" s="38" t="str">
        <f>IF(LEN(concatif2(A:A,Table2[[#This Row],[!Table]],G:G,"Y",D:D,",")) &gt; 0,"rg:[ { 'req' : '"&amp;concatif2(A:A,Table2[[#This Row],[!Table]],G:G,"Y",D:D,"' }, { 'req': '")&amp;"'} ]","rg:[]")</f>
        <v>rg:[ { 'req' : 'id' }, { 'req': 'effectiveDate'} ]</v>
      </c>
      <c r="Y13" s="38" t="str">
        <f>IF(LEN(Table2[[#This Row],[!Unique]])&gt;0,IF(Table2[[#This Row],[!Type]] = "id", "rg:None","rg:True"),"rg:None")</f>
        <v>rg:None</v>
      </c>
    </row>
    <row r="14" spans="1:25" s="35" customFormat="1" ht="28.8" customHeight="1" x14ac:dyDescent="0.3">
      <c r="A14" s="42" t="s">
        <v>215</v>
      </c>
      <c r="B14" s="33" t="s">
        <v>9</v>
      </c>
      <c r="C14" s="33"/>
      <c r="D14" s="33" t="s">
        <v>52</v>
      </c>
      <c r="E14" s="39" t="s">
        <v>184</v>
      </c>
      <c r="F14" s="34"/>
      <c r="G14" s="37" t="s">
        <v>14</v>
      </c>
      <c r="H14" s="37"/>
      <c r="I14" s="35" t="str">
        <f t="shared" si="0"/>
        <v>Defs</v>
      </c>
      <c r="J14" s="38" t="str">
        <f>IF(Table2[[#This Row],[!Type]]=J$1, J$1,"rg:None")</f>
        <v>rg:None</v>
      </c>
      <c r="K14" s="38" t="str">
        <f>IF(Table2[[#This Row],[!Type]]=K$1, K$1,"rg:None")</f>
        <v>rg:None</v>
      </c>
      <c r="L14" s="38" t="str">
        <f>IF(Table2[[#This Row],[!Type]]=L$1, L$1,"rg:None")</f>
        <v>datetime</v>
      </c>
      <c r="M14" s="38" t="str">
        <f>IF(Table2[[#This Row],[!Type]]=M$1, M$1,"rg:None")</f>
        <v>rg:None</v>
      </c>
      <c r="N14" s="38" t="str">
        <f>IF(Table2[[#This Row],[!Type]]=N$1, N$1,"rg:None")</f>
        <v>rg:None</v>
      </c>
      <c r="O14" s="38" t="str">
        <f>IF(Table2[[#This Row],[!Type]]=O$1, O$1,"rg:None")</f>
        <v>rg:None</v>
      </c>
      <c r="P14" s="35" t="str">
        <f>IF(Table2[[#This Row],[!Type]]=P$1, P$1,"rg:None")</f>
        <v>rg:None</v>
      </c>
      <c r="Q14" s="35" t="str">
        <f>IF(Table2[[#This Row],[!Type]]=Q$1, Q$1,"rg:None")</f>
        <v>rg:None</v>
      </c>
      <c r="R14" s="35" t="str">
        <f>IF(Table2[[#This Row],[!Type]]=R$1, R$1,"rg:None")</f>
        <v>rg:None</v>
      </c>
      <c r="S14" s="35" t="str">
        <f>IF(Table2[[#This Row],[!Type]]=S$1, S$1,"rg:None")</f>
        <v>rg:None</v>
      </c>
      <c r="T14" s="38" t="str">
        <f>IF(LEN(Table2[[#This Row],[!Length]]) &gt; 0, Table2[[#This Row],[!Length]], "rg:None")</f>
        <v>rg:None</v>
      </c>
      <c r="U14" s="38" t="str">
        <f>IF(LEN(Table2[[#This Row],[!Name]]) &gt; 0, Table2[[#This Row],[!Name]], "rg:None")</f>
        <v>effectiveDate</v>
      </c>
      <c r="V14" s="38" t="str">
        <f>IF(LEN(Table2[[#This Row],[!Description]]) &gt; 0, Table2[[#This Row],[!Description]], "rg:None")</f>
        <v>The date upon which the Verifiable Organization type was activated for use.</v>
      </c>
      <c r="W14" s="38" t="str">
        <f>IF(LEN(Table2[[#This Row],[!FK]])&gt;0,Table2[[#This Row],[!FK]],"rg:None")</f>
        <v>rg:None</v>
      </c>
      <c r="X14" s="38" t="str">
        <f>IF(LEN(concatif2(A:A,Table2[[#This Row],[!Table]],G:G,"Y",D:D,",")) &gt; 0,"rg:[ { 'req' : '"&amp;concatif2(A:A,Table2[[#This Row],[!Table]],G:G,"Y",D:D,"' }, { 'req': '")&amp;"'} ]","rg:[]")</f>
        <v>rg:[ { 'req' : 'id' }, { 'req': 'effectiveDate'} ]</v>
      </c>
      <c r="Y14" s="38" t="str">
        <f>IF(LEN(Table2[[#This Row],[!Unique]])&gt;0,IF(Table2[[#This Row],[!Type]] = "id", "rg:None","rg:True"),"rg:None")</f>
        <v>rg:None</v>
      </c>
    </row>
    <row r="15" spans="1:25" s="35" customFormat="1" ht="28.8" customHeight="1" x14ac:dyDescent="0.3">
      <c r="A15" s="42" t="s">
        <v>215</v>
      </c>
      <c r="B15" s="33" t="s">
        <v>9</v>
      </c>
      <c r="C15" s="33"/>
      <c r="D15" s="33" t="s">
        <v>53</v>
      </c>
      <c r="E15" s="39" t="s">
        <v>185</v>
      </c>
      <c r="F15" s="34"/>
      <c r="G15" s="37"/>
      <c r="H15" s="37"/>
      <c r="I15" s="35" t="str">
        <f t="shared" si="0"/>
        <v>Defs</v>
      </c>
      <c r="J15" s="38" t="str">
        <f>IF(Table2[[#This Row],[!Type]]=J$1, J$1,"rg:None")</f>
        <v>rg:None</v>
      </c>
      <c r="K15" s="38" t="str">
        <f>IF(Table2[[#This Row],[!Type]]=K$1, K$1,"rg:None")</f>
        <v>rg:None</v>
      </c>
      <c r="L15" s="38" t="str">
        <f>IF(Table2[[#This Row],[!Type]]=L$1, L$1,"rg:None")</f>
        <v>datetime</v>
      </c>
      <c r="M15" s="38" t="str">
        <f>IF(Table2[[#This Row],[!Type]]=M$1, M$1,"rg:None")</f>
        <v>rg:None</v>
      </c>
      <c r="N15" s="38" t="str">
        <f>IF(Table2[[#This Row],[!Type]]=N$1, N$1,"rg:None")</f>
        <v>rg:None</v>
      </c>
      <c r="O15" s="38" t="str">
        <f>IF(Table2[[#This Row],[!Type]]=O$1, O$1,"rg:None")</f>
        <v>rg:None</v>
      </c>
      <c r="P15" s="35" t="str">
        <f>IF(Table2[[#This Row],[!Type]]=P$1, P$1,"rg:None")</f>
        <v>rg:None</v>
      </c>
      <c r="Q15" s="35" t="str">
        <f>IF(Table2[[#This Row],[!Type]]=Q$1, Q$1,"rg:None")</f>
        <v>rg:None</v>
      </c>
      <c r="R15" s="35" t="str">
        <f>IF(Table2[[#This Row],[!Type]]=R$1, R$1,"rg:None")</f>
        <v>rg:None</v>
      </c>
      <c r="S15" s="35" t="str">
        <f>IF(Table2[[#This Row],[!Type]]=S$1, S$1,"rg:None")</f>
        <v>rg:None</v>
      </c>
      <c r="T15" s="38" t="str">
        <f>IF(LEN(Table2[[#This Row],[!Length]]) &gt; 0, Table2[[#This Row],[!Length]], "rg:None")</f>
        <v>rg:None</v>
      </c>
      <c r="U15" s="38" t="str">
        <f>IF(LEN(Table2[[#This Row],[!Name]]) &gt; 0, Table2[[#This Row],[!Name]], "rg:None")</f>
        <v>endDate</v>
      </c>
      <c r="V15" s="38" t="str">
        <f>IF(LEN(Table2[[#This Row],[!Description]]) &gt; 0, Table2[[#This Row],[!Description]], "rg:None")</f>
        <v>The date after which the Verifiable Organization type will no longer be used.</v>
      </c>
      <c r="W15" s="38" t="str">
        <f>IF(LEN(Table2[[#This Row],[!FK]])&gt;0,Table2[[#This Row],[!FK]],"rg:None")</f>
        <v>rg:None</v>
      </c>
      <c r="X15" s="38" t="str">
        <f>IF(LEN(concatif2(A:A,Table2[[#This Row],[!Table]],G:G,"Y",D:D,",")) &gt; 0,"rg:[ { 'req' : '"&amp;concatif2(A:A,Table2[[#This Row],[!Table]],G:G,"Y",D:D,"' }, { 'req': '")&amp;"'} ]","rg:[]")</f>
        <v>rg:[ { 'req' : 'id' }, { 'req': 'effectiveDate'} ]</v>
      </c>
      <c r="Y15" s="38" t="str">
        <f>IF(LEN(Table2[[#This Row],[!Unique]])&gt;0,IF(Table2[[#This Row],[!Type]] = "id", "rg:None","rg:True"),"rg:None")</f>
        <v>rg:None</v>
      </c>
    </row>
    <row r="16" spans="1:25" s="35" customFormat="1" ht="43.2" customHeight="1" x14ac:dyDescent="0.3">
      <c r="A16" s="42" t="s">
        <v>215</v>
      </c>
      <c r="B16" s="33" t="s">
        <v>10</v>
      </c>
      <c r="C16" s="33"/>
      <c r="D16" s="33" t="s">
        <v>54</v>
      </c>
      <c r="E16" s="39" t="s">
        <v>186</v>
      </c>
      <c r="F16" s="34"/>
      <c r="G16" s="37"/>
      <c r="H16" s="37"/>
      <c r="I16" s="35" t="str">
        <f>IF(LEN(A16) &gt; 0,"Defs","-")</f>
        <v>Defs</v>
      </c>
      <c r="J16" s="38" t="str">
        <f>IF(Table2[[#This Row],[!Type]]=J$1, J$1,"rg:None")</f>
        <v>rg:None</v>
      </c>
      <c r="K16" s="38" t="str">
        <f>IF(Table2[[#This Row],[!Type]]=K$1, K$1,"rg:None")</f>
        <v>rg:None</v>
      </c>
      <c r="L16" s="38" t="str">
        <f>IF(Table2[[#This Row],[!Type]]=L$1, L$1,"rg:None")</f>
        <v>rg:None</v>
      </c>
      <c r="M16" s="38" t="str">
        <f>IF(Table2[[#This Row],[!Type]]=M$1, M$1,"rg:None")</f>
        <v>rg:None</v>
      </c>
      <c r="N16" s="38" t="str">
        <f>IF(Table2[[#This Row],[!Type]]=N$1, N$1,"rg:None")</f>
        <v>integer</v>
      </c>
      <c r="O16" s="38" t="str">
        <f>IF(Table2[[#This Row],[!Type]]=O$1, O$1,"rg:None")</f>
        <v>rg:None</v>
      </c>
      <c r="P16" s="35" t="str">
        <f>IF(Table2[[#This Row],[!Type]]=P$1, P$1,"rg:None")</f>
        <v>rg:None</v>
      </c>
      <c r="Q16" s="35" t="str">
        <f>IF(Table2[[#This Row],[!Type]]=Q$1, Q$1,"rg:None")</f>
        <v>rg:None</v>
      </c>
      <c r="R16" s="35" t="str">
        <f>IF(Table2[[#This Row],[!Type]]=R$1, R$1,"rg:None")</f>
        <v>rg:None</v>
      </c>
      <c r="S16" s="35" t="str">
        <f>IF(Table2[[#This Row],[!Type]]=S$1, S$1,"rg:None")</f>
        <v>rg:None</v>
      </c>
      <c r="T16" s="38" t="str">
        <f>IF(LEN(Table2[[#This Row],[!Length]]) &gt; 0, Table2[[#This Row],[!Length]], "rg:None")</f>
        <v>rg:None</v>
      </c>
      <c r="U16" s="38" t="str">
        <f>IF(LEN(Table2[[#This Row],[!Name]]) &gt; 0, Table2[[#This Row],[!Name]], "rg:None")</f>
        <v>displayOrder</v>
      </c>
      <c r="V16" s="38" t="str">
        <f>IF(LEN(Table2[[#This Row],[!Description]]) &gt; 0, Table2[[#This Row],[!Description]], "rg:None")</f>
        <v>The order of display of the Verifiable Organization type. In general, the order will be listed in the order of expected frequency.</v>
      </c>
      <c r="W16" s="38" t="str">
        <f>IF(LEN(Table2[[#This Row],[!FK]])&gt;0,Table2[[#This Row],[!FK]],"rg:None")</f>
        <v>rg:None</v>
      </c>
      <c r="X16" s="38" t="str">
        <f>IF(LEN(concatif2(A:A,Table2[[#This Row],[!Table]],G:G,"Y",D:D,",")) &gt; 0,"rg:[ { 'req' : '"&amp;concatif2(A:A,Table2[[#This Row],[!Table]],G:G,"Y",D:D,"' }, { 'req': '")&amp;"'} ]","rg:[]")</f>
        <v>rg:[ { 'req' : 'id' }, { 'req': 'effectiveDate'} ]</v>
      </c>
      <c r="Y16" s="38" t="str">
        <f>IF(LEN(Table2[[#This Row],[!Unique]])&gt;0,IF(Table2[[#This Row],[!Type]] = "id", "rg:None","rg:True"),"rg:None")</f>
        <v>rg:None</v>
      </c>
    </row>
    <row r="17" spans="1:25" s="35" customFormat="1" ht="28.8" customHeight="1" x14ac:dyDescent="0.3">
      <c r="A17" s="27" t="s">
        <v>207</v>
      </c>
      <c r="B17" s="33" t="s">
        <v>3</v>
      </c>
      <c r="C17" s="33"/>
      <c r="D17" s="27" t="s">
        <v>207</v>
      </c>
      <c r="E17" s="39" t="s">
        <v>187</v>
      </c>
      <c r="F17" s="34"/>
      <c r="G17" s="37"/>
      <c r="H17" s="37"/>
      <c r="I17" s="35" t="str">
        <f t="shared" ref="I17:I24" si="1">IF(LEN(A17) &gt; 0,"Defs","-")</f>
        <v>Defs</v>
      </c>
      <c r="J17" s="38" t="str">
        <f>IF(Table2[[#This Row],[!Type]]=J$1, J$1,"rg:None")</f>
        <v>rg:None</v>
      </c>
      <c r="K17" s="38" t="str">
        <f>IF(Table2[[#This Row],[!Type]]=K$1, K$1,"rg:None")</f>
        <v>rg:None</v>
      </c>
      <c r="L17" s="38" t="str">
        <f>IF(Table2[[#This Row],[!Type]]=L$1, L$1,"rg:None")</f>
        <v>rg:None</v>
      </c>
      <c r="M17" s="38" t="str">
        <f>IF(Table2[[#This Row],[!Type]]=M$1, M$1,"rg:None")</f>
        <v>rg:None</v>
      </c>
      <c r="N17" s="38" t="str">
        <f>IF(Table2[[#This Row],[!Type]]=N$1, N$1,"rg:None")</f>
        <v>rg:None</v>
      </c>
      <c r="O17" s="38" t="str">
        <f>IF(Table2[[#This Row],[!Type]]=O$1, O$1,"rg:None")</f>
        <v>rg:None</v>
      </c>
      <c r="P17" s="35" t="str">
        <f>IF(Table2[[#This Row],[!Type]]=P$1, P$1,"rg:None")</f>
        <v>rg:None</v>
      </c>
      <c r="Q17" s="35" t="str">
        <f>IF(Table2[[#This Row],[!Type]]=Q$1, Q$1,"rg:None")</f>
        <v>rg:None</v>
      </c>
      <c r="R17" s="35" t="str">
        <f>IF(Table2[[#This Row],[!Type]]=R$1, R$1,"rg:None")</f>
        <v>rg:None</v>
      </c>
      <c r="S17" s="35" t="str">
        <f>IF(Table2[[#This Row],[!Type]]=S$1, S$1,"rg:None")</f>
        <v>table</v>
      </c>
      <c r="T17" s="38" t="str">
        <f>IF(LEN(Table2[[#This Row],[!Length]]) &gt; 0, Table2[[#This Row],[!Length]], "rg:None")</f>
        <v>rg:None</v>
      </c>
      <c r="U17" s="38" t="str">
        <f>IF(LEN(Table2[[#This Row],[!Name]]) &gt; 0, Table2[[#This Row],[!Name]], "rg:None")</f>
        <v>Location</v>
      </c>
      <c r="V17" s="38" t="str">
        <f>IF(LEN(Table2[[#This Row],[!Description]]) &gt; 0, Table2[[#This Row],[!Description]], "rg:None")</f>
        <v>A location (name, address and geolocation) of a Verifiable Organization.</v>
      </c>
      <c r="W17" s="38" t="str">
        <f>IF(LEN(Table2[[#This Row],[!FK]])&gt;0,Table2[[#This Row],[!FK]],"rg:None")</f>
        <v>rg:None</v>
      </c>
      <c r="X17" s="38" t="str">
        <f>IF(LEN(concatif2(A:A,Table2[[#This Row],[!Table]],G:G,"Y",D:D,",")) &gt; 0,"rg:[ { 'req' : '"&amp;concatif2(A:A,Table2[[#This Row],[!Table]],G:G,"Y",D:D,"' }, { 'req': '")&amp;"'} ]","rg:[]")</f>
        <v>rg:[ { 'req' : 'id' }, { 'req': 'verifiableOrgId' }, { 'req': 'locationTypeId' }, { 'req': 'effectiveDate'} ]</v>
      </c>
      <c r="Y17" s="38" t="str">
        <f>IF(LEN(Table2[[#This Row],[!Unique]])&gt;0,IF(Table2[[#This Row],[!Type]] = "id", "rg:None","rg:True"),"rg:None")</f>
        <v>rg:None</v>
      </c>
    </row>
    <row r="18" spans="1:25" s="35" customFormat="1" ht="28.8" customHeight="1" x14ac:dyDescent="0.3">
      <c r="A18" s="27" t="s">
        <v>207</v>
      </c>
      <c r="B18" s="33" t="s">
        <v>5</v>
      </c>
      <c r="C18" s="33"/>
      <c r="D18" s="33" t="s">
        <v>5</v>
      </c>
      <c r="E18" s="39" t="s">
        <v>188</v>
      </c>
      <c r="F18" s="34"/>
      <c r="G18" s="37" t="s">
        <v>14</v>
      </c>
      <c r="H18" s="37" t="s">
        <v>14</v>
      </c>
      <c r="I18" s="35" t="str">
        <f t="shared" si="1"/>
        <v>Defs</v>
      </c>
      <c r="J18" s="38" t="str">
        <f>IF(Table2[[#This Row],[!Type]]=J$1, J$1,"rg:None")</f>
        <v>rg:None</v>
      </c>
      <c r="K18" s="38" t="str">
        <f>IF(Table2[[#This Row],[!Type]]=K$1, K$1,"rg:None")</f>
        <v>rg:None</v>
      </c>
      <c r="L18" s="38" t="str">
        <f>IF(Table2[[#This Row],[!Type]]=L$1, L$1,"rg:None")</f>
        <v>rg:None</v>
      </c>
      <c r="M18" s="38" t="str">
        <f>IF(Table2[[#This Row],[!Type]]=M$1, M$1,"rg:None")</f>
        <v>id</v>
      </c>
      <c r="N18" s="38" t="str">
        <f>IF(Table2[[#This Row],[!Type]]=N$1, N$1,"rg:None")</f>
        <v>rg:None</v>
      </c>
      <c r="O18" s="38" t="str">
        <f>IF(Table2[[#This Row],[!Type]]=O$1, O$1,"rg:None")</f>
        <v>rg:None</v>
      </c>
      <c r="P18" s="35" t="str">
        <f>IF(Table2[[#This Row],[!Type]]=P$1, P$1,"rg:None")</f>
        <v>rg:None</v>
      </c>
      <c r="Q18" s="35" t="str">
        <f>IF(Table2[[#This Row],[!Type]]=Q$1, Q$1,"rg:None")</f>
        <v>rg:None</v>
      </c>
      <c r="R18" s="35" t="str">
        <f>IF(Table2[[#This Row],[!Type]]=R$1, R$1,"rg:None")</f>
        <v>rg:None</v>
      </c>
      <c r="S18" s="35" t="str">
        <f>IF(Table2[[#This Row],[!Type]]=S$1, S$1,"rg:None")</f>
        <v>rg:None</v>
      </c>
      <c r="T18" s="38" t="str">
        <f>IF(LEN(Table2[[#This Row],[!Length]]) &gt; 0, Table2[[#This Row],[!Length]], "rg:None")</f>
        <v>rg:None</v>
      </c>
      <c r="U18" s="38" t="str">
        <f>IF(LEN(Table2[[#This Row],[!Name]]) &gt; 0, Table2[[#This Row],[!Name]], "rg:None")</f>
        <v>id</v>
      </c>
      <c r="V18" s="38" t="str">
        <f>IF(LEN(Table2[[#This Row],[!Description]]) &gt; 0, Table2[[#This Row],[!Description]], "rg:None")</f>
        <v>A system-generated unique identifier for a Verifiable Org location.</v>
      </c>
      <c r="W18" s="38" t="str">
        <f>IF(LEN(Table2[[#This Row],[!FK]])&gt;0,Table2[[#This Row],[!FK]],"rg:None")</f>
        <v>rg:None</v>
      </c>
      <c r="X18" s="38" t="str">
        <f>IF(LEN(concatif2(A:A,Table2[[#This Row],[!Table]],G:G,"Y",D:D,",")) &gt; 0,"rg:[ { 'req' : '"&amp;concatif2(A:A,Table2[[#This Row],[!Table]],G:G,"Y",D:D,"' }, { 'req': '")&amp;"'} ]","rg:[]")</f>
        <v>rg:[ { 'req' : 'id' }, { 'req': 'verifiableOrgId' }, { 'req': 'locationTypeId' }, { 'req': 'effectiveDate'} ]</v>
      </c>
      <c r="Y18" s="38" t="str">
        <f>IF(LEN(Table2[[#This Row],[!Unique]])&gt;0,IF(Table2[[#This Row],[!Type]] = "id", "rg:None","rg:True"),"rg:None")</f>
        <v>rg:None</v>
      </c>
    </row>
    <row r="19" spans="1:25" s="35" customFormat="1" ht="16.05" customHeight="1" x14ac:dyDescent="0.3">
      <c r="A19" s="27" t="s">
        <v>207</v>
      </c>
      <c r="B19" s="33" t="s">
        <v>7</v>
      </c>
      <c r="C19" s="33"/>
      <c r="D19" s="42" t="s">
        <v>226</v>
      </c>
      <c r="E19" s="39" t="s">
        <v>189</v>
      </c>
      <c r="F19" s="33" t="s">
        <v>176</v>
      </c>
      <c r="G19" s="35" t="s">
        <v>14</v>
      </c>
      <c r="I19" s="33" t="str">
        <f>IF(LEN(A19) &gt; 0,"Defs","-")</f>
        <v>Defs</v>
      </c>
      <c r="J19" s="36" t="str">
        <f>IF(Table2[[#This Row],[!Type]]=J$1, J$1,"rg:None")</f>
        <v>rg:None</v>
      </c>
      <c r="K19" s="36" t="str">
        <f>IF(Table2[[#This Row],[!Type]]=K$1, K$1,"rg:None")</f>
        <v>rg:None</v>
      </c>
      <c r="L19" s="36" t="str">
        <f>IF(Table2[[#This Row],[!Type]]=L$1, L$1,"rg:None")</f>
        <v>rg:None</v>
      </c>
      <c r="M19" s="36" t="str">
        <f>IF(Table2[[#This Row],[!Type]]=M$1, M$1,"rg:None")</f>
        <v>rg:None</v>
      </c>
      <c r="N19" s="36" t="str">
        <f>IF(Table2[[#This Row],[!Type]]=N$1, N$1,"rg:None")</f>
        <v>rg:None</v>
      </c>
      <c r="O19" s="36" t="str">
        <f>IF(Table2[[#This Row],[!Type]]=O$1, O$1,"rg:None")</f>
        <v>rg:None</v>
      </c>
      <c r="P19" s="33" t="str">
        <f>IF(Table2[[#This Row],[!Type]]=P$1, P$1,"rg:None")</f>
        <v>rg:None</v>
      </c>
      <c r="Q19" s="33" t="str">
        <f>IF(Table2[[#This Row],[!Type]]=Q$1, Q$1,"rg:None")</f>
        <v>ref</v>
      </c>
      <c r="R19" s="33" t="str">
        <f>IF(Table2[[#This Row],[!Type]]=R$1, R$1,"rg:None")</f>
        <v>rg:None</v>
      </c>
      <c r="S19" s="33" t="str">
        <f>IF(Table2[[#This Row],[!Type]]=S$1, S$1,"rg:None")</f>
        <v>rg:None</v>
      </c>
      <c r="T19" s="36" t="str">
        <f>IF(LEN(Table2[[#This Row],[!Length]]) &gt; 0, Table2[[#This Row],[!Length]], "rg:None")</f>
        <v>rg:None</v>
      </c>
      <c r="U19" s="36" t="str">
        <f>IF(LEN(Table2[[#This Row],[!Name]]) &gt; 0, Table2[[#This Row],[!Name]], "rg:None")</f>
        <v>verifiableOrgId</v>
      </c>
      <c r="V19" s="36" t="str">
        <f>IF(LEN(Table2[[#This Row],[!Description]]) &gt; 0, Table2[[#This Row],[!Description]], "rg:None")</f>
        <v>A foreign key reference to the Verifiable Organization table.</v>
      </c>
      <c r="W19" s="36" t="str">
        <f>IF(LEN(Table2[[#This Row],[!FK]])&gt;0,Table2[[#This Row],[!FK]],"rg:None")</f>
        <v>VerifiableOrg</v>
      </c>
      <c r="X19" s="36" t="str">
        <f>IF(LEN(concatif2(A:A,Table2[[#This Row],[!Table]],G:G,"Y",D:D,",")) &gt; 0,"rg:[ { 'req' : '"&amp;concatif2(A:A,Table2[[#This Row],[!Table]],G:G,"Y",D:D,"' }, { 'req': '")&amp;"'} ]","rg:[]")</f>
        <v>rg:[ { 'req' : 'id' }, { 'req': 'verifiableOrgId' }, { 'req': 'locationTypeId' }, { 'req': 'effectiveDate'} ]</v>
      </c>
      <c r="Y19" s="36" t="str">
        <f>IF(LEN(Table2[[#This Row],[!Unique]])&gt;0,IF(Table2[[#This Row],[!Type]] = "id", "rg:None","rg:True"),"rg:None")</f>
        <v>rg:None</v>
      </c>
    </row>
    <row r="20" spans="1:25" s="35" customFormat="1" ht="16.05" customHeight="1" x14ac:dyDescent="0.3">
      <c r="A20" s="27" t="s">
        <v>207</v>
      </c>
      <c r="B20" s="33" t="s">
        <v>7</v>
      </c>
      <c r="C20" s="33"/>
      <c r="D20" s="42" t="s">
        <v>233</v>
      </c>
      <c r="E20" s="39" t="s">
        <v>190</v>
      </c>
      <c r="F20" s="27" t="s">
        <v>208</v>
      </c>
      <c r="G20" s="35" t="s">
        <v>14</v>
      </c>
      <c r="I20" s="35" t="str">
        <f>IF(LEN(A20) &gt; 0,"Defs","-")</f>
        <v>Defs</v>
      </c>
      <c r="J20" s="38" t="str">
        <f>IF(Table2[[#This Row],[!Type]]=J$1, J$1,"rg:None")</f>
        <v>rg:None</v>
      </c>
      <c r="K20" s="38" t="str">
        <f>IF(Table2[[#This Row],[!Type]]=K$1, K$1,"rg:None")</f>
        <v>rg:None</v>
      </c>
      <c r="L20" s="38" t="str">
        <f>IF(Table2[[#This Row],[!Type]]=L$1, L$1,"rg:None")</f>
        <v>rg:None</v>
      </c>
      <c r="M20" s="38" t="str">
        <f>IF(Table2[[#This Row],[!Type]]=M$1, M$1,"rg:None")</f>
        <v>rg:None</v>
      </c>
      <c r="N20" s="38" t="str">
        <f>IF(Table2[[#This Row],[!Type]]=N$1, N$1,"rg:None")</f>
        <v>rg:None</v>
      </c>
      <c r="O20" s="38" t="str">
        <f>IF(Table2[[#This Row],[!Type]]=O$1, O$1,"rg:None")</f>
        <v>rg:None</v>
      </c>
      <c r="P20" s="35" t="str">
        <f>IF(Table2[[#This Row],[!Type]]=P$1, P$1,"rg:None")</f>
        <v>rg:None</v>
      </c>
      <c r="Q20" s="35" t="str">
        <f>IF(Table2[[#This Row],[!Type]]=Q$1, Q$1,"rg:None")</f>
        <v>ref</v>
      </c>
      <c r="R20" s="35" t="str">
        <f>IF(Table2[[#This Row],[!Type]]=R$1, R$1,"rg:None")</f>
        <v>rg:None</v>
      </c>
      <c r="S20" s="35" t="str">
        <f>IF(Table2[[#This Row],[!Type]]=S$1, S$1,"rg:None")</f>
        <v>rg:None</v>
      </c>
      <c r="T20" s="38" t="str">
        <f>IF(LEN(Table2[[#This Row],[!Length]]) &gt; 0, Table2[[#This Row],[!Length]], "rg:None")</f>
        <v>rg:None</v>
      </c>
      <c r="U20" s="38" t="str">
        <f>IF(LEN(Table2[[#This Row],[!Name]]) &gt; 0, Table2[[#This Row],[!Name]], "rg:None")</f>
        <v>locationTypeId</v>
      </c>
      <c r="V20" s="38" t="str">
        <f>IF(LEN(Table2[[#This Row],[!Description]]) &gt; 0, Table2[[#This Row],[!Description]], "rg:None")</f>
        <v>A foreign key reference to the Verifiable Organization Location Type table.</v>
      </c>
      <c r="W20" s="38" t="str">
        <f>IF(LEN(Table2[[#This Row],[!FK]])&gt;0,Table2[[#This Row],[!FK]],"rg:None")</f>
        <v>LocationType</v>
      </c>
      <c r="X20" s="38" t="str">
        <f>IF(LEN(concatif2(A:A,Table2[[#This Row],[!Table]],G:G,"Y",D:D,",")) &gt; 0,"rg:[ { 'req' : '"&amp;concatif2(A:A,Table2[[#This Row],[!Table]],G:G,"Y",D:D,"' }, { 'req': '")&amp;"'} ]","rg:[]")</f>
        <v>rg:[ { 'req' : 'id' }, { 'req': 'verifiableOrgId' }, { 'req': 'locationTypeId' }, { 'req': 'effectiveDate'} ]</v>
      </c>
      <c r="Y20" s="38" t="str">
        <f>IF(LEN(Table2[[#This Row],[!Unique]])&gt;0,IF(Table2[[#This Row],[!Type]] = "id", "rg:None","rg:True"),"rg:None")</f>
        <v>rg:None</v>
      </c>
    </row>
    <row r="21" spans="1:25" s="35" customFormat="1" ht="28.8" customHeight="1" x14ac:dyDescent="0.3">
      <c r="A21" s="27" t="s">
        <v>207</v>
      </c>
      <c r="B21" s="33" t="s">
        <v>6</v>
      </c>
      <c r="C21" s="33"/>
      <c r="D21" s="33" t="s">
        <v>172</v>
      </c>
      <c r="E21" s="39" t="s">
        <v>58</v>
      </c>
      <c r="F21" s="34"/>
      <c r="G21" s="37"/>
      <c r="H21" s="37"/>
      <c r="I21" s="35" t="str">
        <f t="shared" si="1"/>
        <v>Defs</v>
      </c>
      <c r="J21" s="38" t="str">
        <f>IF(Table2[[#This Row],[!Type]]=J$1, J$1,"rg:None")</f>
        <v>rg:None</v>
      </c>
      <c r="K21" s="38" t="str">
        <f>IF(Table2[[#This Row],[!Type]]=K$1, K$1,"rg:None")</f>
        <v>rg:None</v>
      </c>
      <c r="L21" s="38" t="str">
        <f>IF(Table2[[#This Row],[!Type]]=L$1, L$1,"rg:None")</f>
        <v>rg:None</v>
      </c>
      <c r="M21" s="38" t="str">
        <f>IF(Table2[[#This Row],[!Type]]=M$1, M$1,"rg:None")</f>
        <v>rg:None</v>
      </c>
      <c r="N21" s="38" t="str">
        <f>IF(Table2[[#This Row],[!Type]]=N$1, N$1,"rg:None")</f>
        <v>rg:None</v>
      </c>
      <c r="O21" s="38" t="str">
        <f>IF(Table2[[#This Row],[!Type]]=O$1, O$1,"rg:None")</f>
        <v>rg:None</v>
      </c>
      <c r="P21" s="35" t="str">
        <f>IF(Table2[[#This Row],[!Type]]=P$1, P$1,"rg:None")</f>
        <v>rg:None</v>
      </c>
      <c r="Q21" s="35" t="str">
        <f>IF(Table2[[#This Row],[!Type]]=Q$1, Q$1,"rg:None")</f>
        <v>rg:None</v>
      </c>
      <c r="R21" s="35" t="str">
        <f>IF(Table2[[#This Row],[!Type]]=R$1, R$1,"rg:None")</f>
        <v>string</v>
      </c>
      <c r="S21" s="35" t="str">
        <f>IF(Table2[[#This Row],[!Type]]=S$1, S$1,"rg:None")</f>
        <v>rg:None</v>
      </c>
      <c r="T21" s="38" t="str">
        <f>IF(LEN(Table2[[#This Row],[!Length]]) &gt; 0, Table2[[#This Row],[!Length]], "rg:None")</f>
        <v>rg:None</v>
      </c>
      <c r="U21" s="38" t="str">
        <f>IF(LEN(Table2[[#This Row],[!Name]]) &gt; 0, Table2[[#This Row],[!Name]], "rg:None")</f>
        <v>addressee</v>
      </c>
      <c r="V21" s="38" t="str">
        <f>IF(LEN(Table2[[#This Row],[!Description]]) &gt; 0, Table2[[#This Row],[!Description]], "rg:None")</f>
        <v>The Addressee Line of an official address.</v>
      </c>
      <c r="W21" s="38" t="str">
        <f>IF(LEN(Table2[[#This Row],[!FK]])&gt;0,Table2[[#This Row],[!FK]],"rg:None")</f>
        <v>rg:None</v>
      </c>
      <c r="X21" s="38" t="str">
        <f>IF(LEN(concatif2(A:A,Table2[[#This Row],[!Table]],G:G,"Y",D:D,",")) &gt; 0,"rg:[ { 'req' : '"&amp;concatif2(A:A,Table2[[#This Row],[!Table]],G:G,"Y",D:D,"' }, { 'req': '")&amp;"'} ]","rg:[]")</f>
        <v>rg:[ { 'req' : 'id' }, { 'req': 'verifiableOrgId' }, { 'req': 'locationTypeId' }, { 'req': 'effectiveDate'} ]</v>
      </c>
      <c r="Y21" s="38" t="str">
        <f>IF(LEN(Table2[[#This Row],[!Unique]])&gt;0,IF(Table2[[#This Row],[!Type]] = "id", "rg:None","rg:True"),"rg:None")</f>
        <v>rg:None</v>
      </c>
    </row>
    <row r="22" spans="1:25" s="35" customFormat="1" ht="28.8" customHeight="1" x14ac:dyDescent="0.3">
      <c r="A22" s="27" t="s">
        <v>207</v>
      </c>
      <c r="B22" s="33" t="s">
        <v>6</v>
      </c>
      <c r="C22" s="33"/>
      <c r="D22" s="33" t="s">
        <v>173</v>
      </c>
      <c r="E22" s="39" t="s">
        <v>59</v>
      </c>
      <c r="F22" s="34"/>
      <c r="G22" s="37"/>
      <c r="H22" s="37"/>
      <c r="I22" s="35" t="str">
        <f t="shared" si="1"/>
        <v>Defs</v>
      </c>
      <c r="J22" s="38" t="str">
        <f>IF(Table2[[#This Row],[!Type]]=J$1, J$1,"rg:None")</f>
        <v>rg:None</v>
      </c>
      <c r="K22" s="38" t="str">
        <f>IF(Table2[[#This Row],[!Type]]=K$1, K$1,"rg:None")</f>
        <v>rg:None</v>
      </c>
      <c r="L22" s="38" t="str">
        <f>IF(Table2[[#This Row],[!Type]]=L$1, L$1,"rg:None")</f>
        <v>rg:None</v>
      </c>
      <c r="M22" s="38" t="str">
        <f>IF(Table2[[#This Row],[!Type]]=M$1, M$1,"rg:None")</f>
        <v>rg:None</v>
      </c>
      <c r="N22" s="38" t="str">
        <f>IF(Table2[[#This Row],[!Type]]=N$1, N$1,"rg:None")</f>
        <v>rg:None</v>
      </c>
      <c r="O22" s="38" t="str">
        <f>IF(Table2[[#This Row],[!Type]]=O$1, O$1,"rg:None")</f>
        <v>rg:None</v>
      </c>
      <c r="P22" s="35" t="str">
        <f>IF(Table2[[#This Row],[!Type]]=P$1, P$1,"rg:None")</f>
        <v>rg:None</v>
      </c>
      <c r="Q22" s="35" t="str">
        <f>IF(Table2[[#This Row],[!Type]]=Q$1, Q$1,"rg:None")</f>
        <v>rg:None</v>
      </c>
      <c r="R22" s="35" t="str">
        <f>IF(Table2[[#This Row],[!Type]]=R$1, R$1,"rg:None")</f>
        <v>string</v>
      </c>
      <c r="S22" s="35" t="str">
        <f>IF(Table2[[#This Row],[!Type]]=S$1, S$1,"rg:None")</f>
        <v>rg:None</v>
      </c>
      <c r="T22" s="38" t="str">
        <f>IF(LEN(Table2[[#This Row],[!Length]]) &gt; 0, Table2[[#This Row],[!Length]], "rg:None")</f>
        <v>rg:None</v>
      </c>
      <c r="U22" s="38" t="str">
        <f>IF(LEN(Table2[[#This Row],[!Name]]) &gt; 0, Table2[[#This Row],[!Name]], "rg:None")</f>
        <v>addlDeliveryInfo</v>
      </c>
      <c r="V22" s="38" t="str">
        <f>IF(LEN(Table2[[#This Row],[!Description]]) &gt; 0, Table2[[#This Row],[!Description]], "rg:None")</f>
        <v>The Additional Delivery Info of an address</v>
      </c>
      <c r="W22" s="38" t="str">
        <f>IF(LEN(Table2[[#This Row],[!FK]])&gt;0,Table2[[#This Row],[!FK]],"rg:None")</f>
        <v>rg:None</v>
      </c>
      <c r="X22" s="38" t="str">
        <f>IF(LEN(concatif2(A:A,Table2[[#This Row],[!Table]],G:G,"Y",D:D,",")) &gt; 0,"rg:[ { 'req' : '"&amp;concatif2(A:A,Table2[[#This Row],[!Table]],G:G,"Y",D:D,"' }, { 'req': '")&amp;"'} ]","rg:[]")</f>
        <v>rg:[ { 'req' : 'id' }, { 'req': 'verifiableOrgId' }, { 'req': 'locationTypeId' }, { 'req': 'effectiveDate'} ]</v>
      </c>
      <c r="Y22" s="38" t="str">
        <f>IF(LEN(Table2[[#This Row],[!Unique]])&gt;0,IF(Table2[[#This Row],[!Type]] = "id", "rg:None","rg:True"),"rg:None")</f>
        <v>rg:None</v>
      </c>
    </row>
    <row r="23" spans="1:25" s="35" customFormat="1" ht="28.8" customHeight="1" x14ac:dyDescent="0.3">
      <c r="A23" s="27" t="s">
        <v>207</v>
      </c>
      <c r="B23" s="33" t="s">
        <v>6</v>
      </c>
      <c r="C23" s="33"/>
      <c r="D23" s="33" t="s">
        <v>60</v>
      </c>
      <c r="E23" s="39" t="s">
        <v>61</v>
      </c>
      <c r="F23" s="34"/>
      <c r="G23" s="37"/>
      <c r="H23" s="37"/>
      <c r="I23" s="35" t="str">
        <f t="shared" si="1"/>
        <v>Defs</v>
      </c>
      <c r="J23" s="38" t="str">
        <f>IF(Table2[[#This Row],[!Type]]=J$1, J$1,"rg:None")</f>
        <v>rg:None</v>
      </c>
      <c r="K23" s="38" t="str">
        <f>IF(Table2[[#This Row],[!Type]]=K$1, K$1,"rg:None")</f>
        <v>rg:None</v>
      </c>
      <c r="L23" s="38" t="str">
        <f>IF(Table2[[#This Row],[!Type]]=L$1, L$1,"rg:None")</f>
        <v>rg:None</v>
      </c>
      <c r="M23" s="38" t="str">
        <f>IF(Table2[[#This Row],[!Type]]=M$1, M$1,"rg:None")</f>
        <v>rg:None</v>
      </c>
      <c r="N23" s="38" t="str">
        <f>IF(Table2[[#This Row],[!Type]]=N$1, N$1,"rg:None")</f>
        <v>rg:None</v>
      </c>
      <c r="O23" s="38" t="str">
        <f>IF(Table2[[#This Row],[!Type]]=O$1, O$1,"rg:None")</f>
        <v>rg:None</v>
      </c>
      <c r="P23" s="35" t="str">
        <f>IF(Table2[[#This Row],[!Type]]=P$1, P$1,"rg:None")</f>
        <v>rg:None</v>
      </c>
      <c r="Q23" s="35" t="str">
        <f>IF(Table2[[#This Row],[!Type]]=Q$1, Q$1,"rg:None")</f>
        <v>rg:None</v>
      </c>
      <c r="R23" s="35" t="str">
        <f>IF(Table2[[#This Row],[!Type]]=R$1, R$1,"rg:None")</f>
        <v>string</v>
      </c>
      <c r="S23" s="35" t="str">
        <f>IF(Table2[[#This Row],[!Type]]=S$1, S$1,"rg:None")</f>
        <v>rg:None</v>
      </c>
      <c r="T23" s="38" t="str">
        <f>IF(LEN(Table2[[#This Row],[!Length]]) &gt; 0, Table2[[#This Row],[!Length]], "rg:None")</f>
        <v>rg:None</v>
      </c>
      <c r="U23" s="38" t="str">
        <f>IF(LEN(Table2[[#This Row],[!Name]]) &gt; 0, Table2[[#This Row],[!Name]], "rg:None")</f>
        <v>unitNumber</v>
      </c>
      <c r="V23" s="38" t="str">
        <f>IF(LEN(Table2[[#This Row],[!Description]]) &gt; 0, Table2[[#This Row],[!Description]], "rg:None")</f>
        <v>The unit number of the address.</v>
      </c>
      <c r="W23" s="38" t="str">
        <f>IF(LEN(Table2[[#This Row],[!FK]])&gt;0,Table2[[#This Row],[!FK]],"rg:None")</f>
        <v>rg:None</v>
      </c>
      <c r="X23" s="38" t="str">
        <f>IF(LEN(concatif2(A:A,Table2[[#This Row],[!Table]],G:G,"Y",D:D,",")) &gt; 0,"rg:[ { 'req' : '"&amp;concatif2(A:A,Table2[[#This Row],[!Table]],G:G,"Y",D:D,"' }, { 'req': '")&amp;"'} ]","rg:[]")</f>
        <v>rg:[ { 'req' : 'id' }, { 'req': 'verifiableOrgId' }, { 'req': 'locationTypeId' }, { 'req': 'effectiveDate'} ]</v>
      </c>
      <c r="Y23" s="38" t="str">
        <f>IF(LEN(Table2[[#This Row],[!Unique]])&gt;0,IF(Table2[[#This Row],[!Type]] = "id", "rg:None","rg:True"),"rg:None")</f>
        <v>rg:None</v>
      </c>
    </row>
    <row r="24" spans="1:25" s="35" customFormat="1" ht="28.8" customHeight="1" x14ac:dyDescent="0.3">
      <c r="A24" s="27" t="s">
        <v>207</v>
      </c>
      <c r="B24" s="33" t="s">
        <v>6</v>
      </c>
      <c r="C24" s="33"/>
      <c r="D24" s="33" t="s">
        <v>62</v>
      </c>
      <c r="E24" s="39" t="s">
        <v>63</v>
      </c>
      <c r="F24" s="34"/>
      <c r="G24" s="37"/>
      <c r="H24" s="37"/>
      <c r="I24" s="35" t="str">
        <f t="shared" si="1"/>
        <v>Defs</v>
      </c>
      <c r="J24" s="38" t="str">
        <f>IF(Table2[[#This Row],[!Type]]=J$1, J$1,"rg:None")</f>
        <v>rg:None</v>
      </c>
      <c r="K24" s="38" t="str">
        <f>IF(Table2[[#This Row],[!Type]]=K$1, K$1,"rg:None")</f>
        <v>rg:None</v>
      </c>
      <c r="L24" s="38" t="str">
        <f>IF(Table2[[#This Row],[!Type]]=L$1, L$1,"rg:None")</f>
        <v>rg:None</v>
      </c>
      <c r="M24" s="38" t="str">
        <f>IF(Table2[[#This Row],[!Type]]=M$1, M$1,"rg:None")</f>
        <v>rg:None</v>
      </c>
      <c r="N24" s="38" t="str">
        <f>IF(Table2[[#This Row],[!Type]]=N$1, N$1,"rg:None")</f>
        <v>rg:None</v>
      </c>
      <c r="O24" s="38" t="str">
        <f>IF(Table2[[#This Row],[!Type]]=O$1, O$1,"rg:None")</f>
        <v>rg:None</v>
      </c>
      <c r="P24" s="35" t="str">
        <f>IF(Table2[[#This Row],[!Type]]=P$1, P$1,"rg:None")</f>
        <v>rg:None</v>
      </c>
      <c r="Q24" s="35" t="str">
        <f>IF(Table2[[#This Row],[!Type]]=Q$1, Q$1,"rg:None")</f>
        <v>rg:None</v>
      </c>
      <c r="R24" s="35" t="str">
        <f>IF(Table2[[#This Row],[!Type]]=R$1, R$1,"rg:None")</f>
        <v>string</v>
      </c>
      <c r="S24" s="35" t="str">
        <f>IF(Table2[[#This Row],[!Type]]=S$1, S$1,"rg:None")</f>
        <v>rg:None</v>
      </c>
      <c r="T24" s="38" t="str">
        <f>IF(LEN(Table2[[#This Row],[!Length]]) &gt; 0, Table2[[#This Row],[!Length]], "rg:None")</f>
        <v>rg:None</v>
      </c>
      <c r="U24" s="38" t="str">
        <f>IF(LEN(Table2[[#This Row],[!Name]]) &gt; 0, Table2[[#This Row],[!Name]], "rg:None")</f>
        <v>streetAddress</v>
      </c>
      <c r="V24" s="38" t="str">
        <f>IF(LEN(Table2[[#This Row],[!Description]]) &gt; 0, Table2[[#This Row],[!Description]], "rg:None")</f>
        <v>The Street Address of the location.</v>
      </c>
      <c r="W24" s="38" t="str">
        <f>IF(LEN(Table2[[#This Row],[!FK]])&gt;0,Table2[[#This Row],[!FK]],"rg:None")</f>
        <v>rg:None</v>
      </c>
      <c r="X24" s="38" t="str">
        <f>IF(LEN(concatif2(A:A,Table2[[#This Row],[!Table]],G:G,"Y",D:D,",")) &gt; 0,"rg:[ { 'req' : '"&amp;concatif2(A:A,Table2[[#This Row],[!Table]],G:G,"Y",D:D,"' }, { 'req': '")&amp;"'} ]","rg:[]")</f>
        <v>rg:[ { 'req' : 'id' }, { 'req': 'verifiableOrgId' }, { 'req': 'locationTypeId' }, { 'req': 'effectiveDate'} ]</v>
      </c>
      <c r="Y24" s="38" t="str">
        <f>IF(LEN(Table2[[#This Row],[!Unique]])&gt;0,IF(Table2[[#This Row],[!Type]] = "id", "rg:None","rg:True"),"rg:None")</f>
        <v>rg:None</v>
      </c>
    </row>
    <row r="25" spans="1:25" s="35" customFormat="1" ht="28.8" customHeight="1" x14ac:dyDescent="0.3">
      <c r="A25" s="27" t="s">
        <v>207</v>
      </c>
      <c r="B25" s="33" t="s">
        <v>6</v>
      </c>
      <c r="C25" s="33"/>
      <c r="D25" s="33" t="s">
        <v>64</v>
      </c>
      <c r="E25" s="39" t="s">
        <v>65</v>
      </c>
      <c r="F25" s="34"/>
      <c r="G25" s="37"/>
      <c r="H25" s="37"/>
      <c r="I25" s="35" t="str">
        <f>IF(LEN(A25) &gt; 0,"Defs","-")</f>
        <v>Defs</v>
      </c>
      <c r="J25" s="38" t="str">
        <f>IF(Table2[[#This Row],[!Type]]=J$1, J$1,"rg:None")</f>
        <v>rg:None</v>
      </c>
      <c r="K25" s="38" t="str">
        <f>IF(Table2[[#This Row],[!Type]]=K$1, K$1,"rg:None")</f>
        <v>rg:None</v>
      </c>
      <c r="L25" s="38" t="str">
        <f>IF(Table2[[#This Row],[!Type]]=L$1, L$1,"rg:None")</f>
        <v>rg:None</v>
      </c>
      <c r="M25" s="38" t="str">
        <f>IF(Table2[[#This Row],[!Type]]=M$1, M$1,"rg:None")</f>
        <v>rg:None</v>
      </c>
      <c r="N25" s="38" t="str">
        <f>IF(Table2[[#This Row],[!Type]]=N$1, N$1,"rg:None")</f>
        <v>rg:None</v>
      </c>
      <c r="O25" s="38" t="str">
        <f>IF(Table2[[#This Row],[!Type]]=O$1, O$1,"rg:None")</f>
        <v>rg:None</v>
      </c>
      <c r="P25" s="35" t="str">
        <f>IF(Table2[[#This Row],[!Type]]=P$1, P$1,"rg:None")</f>
        <v>rg:None</v>
      </c>
      <c r="Q25" s="35" t="str">
        <f>IF(Table2[[#This Row],[!Type]]=Q$1, Q$1,"rg:None")</f>
        <v>rg:None</v>
      </c>
      <c r="R25" s="35" t="str">
        <f>IF(Table2[[#This Row],[!Type]]=R$1, R$1,"rg:None")</f>
        <v>string</v>
      </c>
      <c r="S25" s="35" t="str">
        <f>IF(Table2[[#This Row],[!Type]]=S$1, S$1,"rg:None")</f>
        <v>rg:None</v>
      </c>
      <c r="T25" s="38" t="str">
        <f>IF(LEN(Table2[[#This Row],[!Length]]) &gt; 0, Table2[[#This Row],[!Length]], "rg:None")</f>
        <v>rg:None</v>
      </c>
      <c r="U25" s="38" t="str">
        <f>IF(LEN(Table2[[#This Row],[!Name]]) &gt; 0, Table2[[#This Row],[!Name]], "rg:None")</f>
        <v>municipality</v>
      </c>
      <c r="V25" s="38" t="str">
        <f>IF(LEN(Table2[[#This Row],[!Description]]) &gt; 0, Table2[[#This Row],[!Description]], "rg:None")</f>
        <v>The Municipality (city, town, etc.) of the address of the location.</v>
      </c>
      <c r="W25" s="38" t="str">
        <f>IF(LEN(Table2[[#This Row],[!FK]])&gt;0,Table2[[#This Row],[!FK]],"rg:None")</f>
        <v>rg:None</v>
      </c>
      <c r="X25" s="38" t="str">
        <f>IF(LEN(concatif2(A:A,Table2[[#This Row],[!Table]],G:G,"Y",D:D,",")) &gt; 0,"rg:[ { 'req' : '"&amp;concatif2(A:A,Table2[[#This Row],[!Table]],G:G,"Y",D:D,"' }, { 'req': '")&amp;"'} ]","rg:[]")</f>
        <v>rg:[ { 'req' : 'id' }, { 'req': 'verifiableOrgId' }, { 'req': 'locationTypeId' }, { 'req': 'effectiveDate'} ]</v>
      </c>
      <c r="Y25" s="38" t="str">
        <f>IF(LEN(Table2[[#This Row],[!Unique]])&gt;0,IF(Table2[[#This Row],[!Type]] = "id", "rg:None","rg:True"),"rg:None")</f>
        <v>rg:None</v>
      </c>
    </row>
    <row r="26" spans="1:25" s="35" customFormat="1" ht="28.8" customHeight="1" x14ac:dyDescent="0.3">
      <c r="A26" s="27" t="s">
        <v>207</v>
      </c>
      <c r="B26" s="33" t="s">
        <v>6</v>
      </c>
      <c r="C26" s="33"/>
      <c r="D26" s="33" t="s">
        <v>66</v>
      </c>
      <c r="E26" s="39" t="s">
        <v>67</v>
      </c>
      <c r="F26" s="33" t="s">
        <v>4</v>
      </c>
      <c r="I26" s="33" t="str">
        <f t="shared" ref="I26:I41" si="2">IF(LEN(A26) &gt; 0,"Defs","-")</f>
        <v>Defs</v>
      </c>
      <c r="J26" s="36" t="str">
        <f>IF(Table2[[#This Row],[!Type]]=J$1, J$1,"rg:None")</f>
        <v>rg:None</v>
      </c>
      <c r="K26" s="36" t="str">
        <f>IF(Table2[[#This Row],[!Type]]=K$1, K$1,"rg:None")</f>
        <v>rg:None</v>
      </c>
      <c r="L26" s="36" t="str">
        <f>IF(Table2[[#This Row],[!Type]]=L$1, L$1,"rg:None")</f>
        <v>rg:None</v>
      </c>
      <c r="M26" s="36" t="str">
        <f>IF(Table2[[#This Row],[!Type]]=M$1, M$1,"rg:None")</f>
        <v>rg:None</v>
      </c>
      <c r="N26" s="36" t="str">
        <f>IF(Table2[[#This Row],[!Type]]=N$1, N$1,"rg:None")</f>
        <v>rg:None</v>
      </c>
      <c r="O26" s="36" t="str">
        <f>IF(Table2[[#This Row],[!Type]]=O$1, O$1,"rg:None")</f>
        <v>rg:None</v>
      </c>
      <c r="P26" s="33" t="str">
        <f>IF(Table2[[#This Row],[!Type]]=P$1, P$1,"rg:None")</f>
        <v>rg:None</v>
      </c>
      <c r="Q26" s="33" t="str">
        <f>IF(Table2[[#This Row],[!Type]]=Q$1, Q$1,"rg:None")</f>
        <v>rg:None</v>
      </c>
      <c r="R26" s="33" t="str">
        <f>IF(Table2[[#This Row],[!Type]]=R$1, R$1,"rg:None")</f>
        <v>string</v>
      </c>
      <c r="S26" s="33" t="str">
        <f>IF(Table2[[#This Row],[!Type]]=S$1, S$1,"rg:None")</f>
        <v>rg:None</v>
      </c>
      <c r="T26" s="36" t="str">
        <f>IF(LEN(Table2[[#This Row],[!Length]]) &gt; 0, Table2[[#This Row],[!Length]], "rg:None")</f>
        <v>rg:None</v>
      </c>
      <c r="U26" s="36" t="str">
        <f>IF(LEN(Table2[[#This Row],[!Name]]) &gt; 0, Table2[[#This Row],[!Name]], "rg:None")</f>
        <v>province</v>
      </c>
      <c r="V26" s="36" t="str">
        <f>IF(LEN(Table2[[#This Row],[!Description]]) &gt; 0, Table2[[#This Row],[!Description]], "rg:None")</f>
        <v>The province of the location.</v>
      </c>
      <c r="W26" s="36" t="str">
        <f>IF(LEN(Table2[[#This Row],[!FK]])&gt;0,Table2[[#This Row],[!FK]],"rg:None")</f>
        <v>rg:None</v>
      </c>
      <c r="X26" s="36" t="str">
        <f>IF(LEN(concatif2(A:A,Table2[[#This Row],[!Table]],G:G,"Y",D:D,",")) &gt; 0,"rg:[ { 'req' : '"&amp;concatif2(A:A,Table2[[#This Row],[!Table]],G:G,"Y",D:D,"' }, { 'req': '")&amp;"'} ]","rg:[]")</f>
        <v>rg:[ { 'req' : 'id' }, { 'req': 'verifiableOrgId' }, { 'req': 'locationTypeId' }, { 'req': 'effectiveDate'} ]</v>
      </c>
      <c r="Y26" s="36" t="str">
        <f>IF(LEN(Table2[[#This Row],[!Unique]])&gt;0,IF(Table2[[#This Row],[!Type]] = "id", "rg:None","rg:True"),"rg:None")</f>
        <v>rg:None</v>
      </c>
    </row>
    <row r="27" spans="1:25" s="35" customFormat="1" x14ac:dyDescent="0.3">
      <c r="A27" s="27" t="s">
        <v>207</v>
      </c>
      <c r="B27" s="33" t="s">
        <v>6</v>
      </c>
      <c r="C27" s="33"/>
      <c r="D27" s="33" t="s">
        <v>68</v>
      </c>
      <c r="E27" s="39" t="s">
        <v>69</v>
      </c>
      <c r="F27" s="33" t="s">
        <v>4</v>
      </c>
      <c r="I27" s="33" t="str">
        <f t="shared" si="2"/>
        <v>Defs</v>
      </c>
      <c r="J27" s="36" t="str">
        <f>IF(Table2[[#This Row],[!Type]]=J$1, J$1,"rg:None")</f>
        <v>rg:None</v>
      </c>
      <c r="K27" s="36" t="str">
        <f>IF(Table2[[#This Row],[!Type]]=K$1, K$1,"rg:None")</f>
        <v>rg:None</v>
      </c>
      <c r="L27" s="36" t="str">
        <f>IF(Table2[[#This Row],[!Type]]=L$1, L$1,"rg:None")</f>
        <v>rg:None</v>
      </c>
      <c r="M27" s="36" t="str">
        <f>IF(Table2[[#This Row],[!Type]]=M$1, M$1,"rg:None")</f>
        <v>rg:None</v>
      </c>
      <c r="N27" s="36" t="str">
        <f>IF(Table2[[#This Row],[!Type]]=N$1, N$1,"rg:None")</f>
        <v>rg:None</v>
      </c>
      <c r="O27" s="36" t="str">
        <f>IF(Table2[[#This Row],[!Type]]=O$1, O$1,"rg:None")</f>
        <v>rg:None</v>
      </c>
      <c r="P27" s="33" t="str">
        <f>IF(Table2[[#This Row],[!Type]]=P$1, P$1,"rg:None")</f>
        <v>rg:None</v>
      </c>
      <c r="Q27" s="33" t="str">
        <f>IF(Table2[[#This Row],[!Type]]=Q$1, Q$1,"rg:None")</f>
        <v>rg:None</v>
      </c>
      <c r="R27" s="33" t="str">
        <f>IF(Table2[[#This Row],[!Type]]=R$1, R$1,"rg:None")</f>
        <v>string</v>
      </c>
      <c r="S27" s="33" t="str">
        <f>IF(Table2[[#This Row],[!Type]]=S$1, S$1,"rg:None")</f>
        <v>rg:None</v>
      </c>
      <c r="T27" s="36" t="str">
        <f>IF(LEN(Table2[[#This Row],[!Length]]) &gt; 0, Table2[[#This Row],[!Length]], "rg:None")</f>
        <v>rg:None</v>
      </c>
      <c r="U27" s="36" t="str">
        <f>IF(LEN(Table2[[#This Row],[!Name]]) &gt; 0, Table2[[#This Row],[!Name]], "rg:None")</f>
        <v>postalCode</v>
      </c>
      <c r="V27" s="36" t="str">
        <f>IF(LEN(Table2[[#This Row],[!Description]]) &gt; 0, Table2[[#This Row],[!Description]], "rg:None")</f>
        <v>The postal code of the location.</v>
      </c>
      <c r="W27" s="36" t="str">
        <f>IF(LEN(Table2[[#This Row],[!FK]])&gt;0,Table2[[#This Row],[!FK]],"rg:None")</f>
        <v>rg:None</v>
      </c>
      <c r="X27" s="36" t="str">
        <f>IF(LEN(concatif2(A:A,Table2[[#This Row],[!Table]],G:G,"Y",D:D,",")) &gt; 0,"rg:[ { 'req' : '"&amp;concatif2(A:A,Table2[[#This Row],[!Table]],G:G,"Y",D:D,"' }, { 'req': '")&amp;"'} ]","rg:[]")</f>
        <v>rg:[ { 'req' : 'id' }, { 'req': 'verifiableOrgId' }, { 'req': 'locationTypeId' }, { 'req': 'effectiveDate'} ]</v>
      </c>
      <c r="Y27" s="36" t="str">
        <f>IF(LEN(Table2[[#This Row],[!Unique]])&gt;0,IF(Table2[[#This Row],[!Type]] = "id", "rg:None","rg:True"),"rg:None")</f>
        <v>rg:None</v>
      </c>
    </row>
    <row r="28" spans="1:25" s="35" customFormat="1" ht="28.8" customHeight="1" x14ac:dyDescent="0.3">
      <c r="A28" s="27" t="s">
        <v>207</v>
      </c>
      <c r="B28" s="33" t="s">
        <v>6</v>
      </c>
      <c r="C28" s="33"/>
      <c r="D28" s="33" t="s">
        <v>70</v>
      </c>
      <c r="E28" s="39" t="s">
        <v>71</v>
      </c>
      <c r="F28" s="33" t="s">
        <v>4</v>
      </c>
      <c r="I28" s="33" t="str">
        <f t="shared" si="2"/>
        <v>Defs</v>
      </c>
      <c r="J28" s="36" t="str">
        <f>IF(Table2[[#This Row],[!Type]]=J$1, J$1,"rg:None")</f>
        <v>rg:None</v>
      </c>
      <c r="K28" s="36" t="str">
        <f>IF(Table2[[#This Row],[!Type]]=K$1, K$1,"rg:None")</f>
        <v>rg:None</v>
      </c>
      <c r="L28" s="36" t="str">
        <f>IF(Table2[[#This Row],[!Type]]=L$1, L$1,"rg:None")</f>
        <v>rg:None</v>
      </c>
      <c r="M28" s="36" t="str">
        <f>IF(Table2[[#This Row],[!Type]]=M$1, M$1,"rg:None")</f>
        <v>rg:None</v>
      </c>
      <c r="N28" s="36" t="str">
        <f>IF(Table2[[#This Row],[!Type]]=N$1, N$1,"rg:None")</f>
        <v>rg:None</v>
      </c>
      <c r="O28" s="36" t="str">
        <f>IF(Table2[[#This Row],[!Type]]=O$1, O$1,"rg:None")</f>
        <v>rg:None</v>
      </c>
      <c r="P28" s="33" t="str">
        <f>IF(Table2[[#This Row],[!Type]]=P$1, P$1,"rg:None")</f>
        <v>rg:None</v>
      </c>
      <c r="Q28" s="33" t="str">
        <f>IF(Table2[[#This Row],[!Type]]=Q$1, Q$1,"rg:None")</f>
        <v>rg:None</v>
      </c>
      <c r="R28" s="33" t="str">
        <f>IF(Table2[[#This Row],[!Type]]=R$1, R$1,"rg:None")</f>
        <v>string</v>
      </c>
      <c r="S28" s="33" t="str">
        <f>IF(Table2[[#This Row],[!Type]]=S$1, S$1,"rg:None")</f>
        <v>rg:None</v>
      </c>
      <c r="T28" s="36" t="str">
        <f>IF(LEN(Table2[[#This Row],[!Length]]) &gt; 0, Table2[[#This Row],[!Length]], "rg:None")</f>
        <v>rg:None</v>
      </c>
      <c r="U28" s="36" t="str">
        <f>IF(LEN(Table2[[#This Row],[!Name]]) &gt; 0, Table2[[#This Row],[!Name]], "rg:None")</f>
        <v>latLong</v>
      </c>
      <c r="V28" s="36" t="str">
        <f>IF(LEN(Table2[[#This Row],[!Description]]) &gt; 0, Table2[[#This Row],[!Description]], "rg:None")</f>
        <v>The latitude and longitude of the location, if known.</v>
      </c>
      <c r="W28" s="36" t="str">
        <f>IF(LEN(Table2[[#This Row],[!FK]])&gt;0,Table2[[#This Row],[!FK]],"rg:None")</f>
        <v>rg:None</v>
      </c>
      <c r="X28" s="36" t="str">
        <f>IF(LEN(concatif2(A:A,Table2[[#This Row],[!Table]],G:G,"Y",D:D,",")) &gt; 0,"rg:[ { 'req' : '"&amp;concatif2(A:A,Table2[[#This Row],[!Table]],G:G,"Y",D:D,"' }, { 'req': '")&amp;"'} ]","rg:[]")</f>
        <v>rg:[ { 'req' : 'id' }, { 'req': 'verifiableOrgId' }, { 'req': 'locationTypeId' }, { 'req': 'effectiveDate'} ]</v>
      </c>
      <c r="Y28" s="36" t="str">
        <f>IF(LEN(Table2[[#This Row],[!Unique]])&gt;0,IF(Table2[[#This Row],[!Type]] = "id", "rg:None","rg:True"),"rg:None")</f>
        <v>rg:None</v>
      </c>
    </row>
    <row r="29" spans="1:25" s="35" customFormat="1" ht="28.8" customHeight="1" x14ac:dyDescent="0.3">
      <c r="A29" s="27" t="s">
        <v>207</v>
      </c>
      <c r="B29" s="33" t="s">
        <v>9</v>
      </c>
      <c r="C29" s="33"/>
      <c r="D29" s="33" t="s">
        <v>52</v>
      </c>
      <c r="E29" s="39" t="s">
        <v>191</v>
      </c>
      <c r="F29" s="34"/>
      <c r="G29" s="37" t="s">
        <v>14</v>
      </c>
      <c r="H29" s="37"/>
      <c r="I29" s="35" t="str">
        <f t="shared" ref="I29:I30" si="3">IF(LEN(A29) &gt; 0,"Defs","-")</f>
        <v>Defs</v>
      </c>
      <c r="J29" s="38" t="str">
        <f>IF(Table2[[#This Row],[!Type]]=J$1, J$1,"rg:None")</f>
        <v>rg:None</v>
      </c>
      <c r="K29" s="38" t="str">
        <f>IF(Table2[[#This Row],[!Type]]=K$1, K$1,"rg:None")</f>
        <v>rg:None</v>
      </c>
      <c r="L29" s="38" t="str">
        <f>IF(Table2[[#This Row],[!Type]]=L$1, L$1,"rg:None")</f>
        <v>datetime</v>
      </c>
      <c r="M29" s="38" t="str">
        <f>IF(Table2[[#This Row],[!Type]]=M$1, M$1,"rg:None")</f>
        <v>rg:None</v>
      </c>
      <c r="N29" s="38" t="str">
        <f>IF(Table2[[#This Row],[!Type]]=N$1, N$1,"rg:None")</f>
        <v>rg:None</v>
      </c>
      <c r="O29" s="38" t="str">
        <f>IF(Table2[[#This Row],[!Type]]=O$1, O$1,"rg:None")</f>
        <v>rg:None</v>
      </c>
      <c r="P29" s="35" t="str">
        <f>IF(Table2[[#This Row],[!Type]]=P$1, P$1,"rg:None")</f>
        <v>rg:None</v>
      </c>
      <c r="Q29" s="35" t="str">
        <f>IF(Table2[[#This Row],[!Type]]=Q$1, Q$1,"rg:None")</f>
        <v>rg:None</v>
      </c>
      <c r="R29" s="35" t="str">
        <f>IF(Table2[[#This Row],[!Type]]=R$1, R$1,"rg:None")</f>
        <v>rg:None</v>
      </c>
      <c r="S29" s="35" t="str">
        <f>IF(Table2[[#This Row],[!Type]]=S$1, S$1,"rg:None")</f>
        <v>rg:None</v>
      </c>
      <c r="T29" s="38" t="str">
        <f>IF(LEN(Table2[[#This Row],[!Length]]) &gt; 0, Table2[[#This Row],[!Length]], "rg:None")</f>
        <v>rg:None</v>
      </c>
      <c r="U29" s="38" t="str">
        <f>IF(LEN(Table2[[#This Row],[!Name]]) &gt; 0, Table2[[#This Row],[!Name]], "rg:None")</f>
        <v>effectiveDate</v>
      </c>
      <c r="V29" s="38" t="str">
        <f>IF(LEN(Table2[[#This Row],[!Description]]) &gt; 0, Table2[[#This Row],[!Description]], "rg:None")</f>
        <v>The date upon which the Verifiable Organization location was active</v>
      </c>
      <c r="W29" s="38" t="str">
        <f>IF(LEN(Table2[[#This Row],[!FK]])&gt;0,Table2[[#This Row],[!FK]],"rg:None")</f>
        <v>rg:None</v>
      </c>
      <c r="X29" s="38" t="str">
        <f>IF(LEN(concatif2(A:A,Table2[[#This Row],[!Table]],G:G,"Y",D:D,",")) &gt; 0,"rg:[ { 'req' : '"&amp;concatif2(A:A,Table2[[#This Row],[!Table]],G:G,"Y",D:D,"' }, { 'req': '")&amp;"'} ]","rg:[]")</f>
        <v>rg:[ { 'req' : 'id' }, { 'req': 'verifiableOrgId' }, { 'req': 'locationTypeId' }, { 'req': 'effectiveDate'} ]</v>
      </c>
      <c r="Y29" s="38" t="str">
        <f>IF(LEN(Table2[[#This Row],[!Unique]])&gt;0,IF(Table2[[#This Row],[!Type]] = "id", "rg:None","rg:True"),"rg:None")</f>
        <v>rg:None</v>
      </c>
    </row>
    <row r="30" spans="1:25" s="35" customFormat="1" ht="28.8" customHeight="1" x14ac:dyDescent="0.3">
      <c r="A30" s="27" t="s">
        <v>207</v>
      </c>
      <c r="B30" s="33" t="s">
        <v>9</v>
      </c>
      <c r="C30" s="33"/>
      <c r="D30" s="33" t="s">
        <v>53</v>
      </c>
      <c r="E30" s="39" t="s">
        <v>192</v>
      </c>
      <c r="F30" s="34"/>
      <c r="G30" s="37"/>
      <c r="H30" s="37"/>
      <c r="I30" s="35" t="str">
        <f t="shared" si="3"/>
        <v>Defs</v>
      </c>
      <c r="J30" s="38" t="str">
        <f>IF(Table2[[#This Row],[!Type]]=J$1, J$1,"rg:None")</f>
        <v>rg:None</v>
      </c>
      <c r="K30" s="38" t="str">
        <f>IF(Table2[[#This Row],[!Type]]=K$1, K$1,"rg:None")</f>
        <v>rg:None</v>
      </c>
      <c r="L30" s="38" t="str">
        <f>IF(Table2[[#This Row],[!Type]]=L$1, L$1,"rg:None")</f>
        <v>datetime</v>
      </c>
      <c r="M30" s="38" t="str">
        <f>IF(Table2[[#This Row],[!Type]]=M$1, M$1,"rg:None")</f>
        <v>rg:None</v>
      </c>
      <c r="N30" s="38" t="str">
        <f>IF(Table2[[#This Row],[!Type]]=N$1, N$1,"rg:None")</f>
        <v>rg:None</v>
      </c>
      <c r="O30" s="38" t="str">
        <f>IF(Table2[[#This Row],[!Type]]=O$1, O$1,"rg:None")</f>
        <v>rg:None</v>
      </c>
      <c r="P30" s="35" t="str">
        <f>IF(Table2[[#This Row],[!Type]]=P$1, P$1,"rg:None")</f>
        <v>rg:None</v>
      </c>
      <c r="Q30" s="35" t="str">
        <f>IF(Table2[[#This Row],[!Type]]=Q$1, Q$1,"rg:None")</f>
        <v>rg:None</v>
      </c>
      <c r="R30" s="35" t="str">
        <f>IF(Table2[[#This Row],[!Type]]=R$1, R$1,"rg:None")</f>
        <v>rg:None</v>
      </c>
      <c r="S30" s="35" t="str">
        <f>IF(Table2[[#This Row],[!Type]]=S$1, S$1,"rg:None")</f>
        <v>rg:None</v>
      </c>
      <c r="T30" s="38" t="str">
        <f>IF(LEN(Table2[[#This Row],[!Length]]) &gt; 0, Table2[[#This Row],[!Length]], "rg:None")</f>
        <v>rg:None</v>
      </c>
      <c r="U30" s="38" t="str">
        <f>IF(LEN(Table2[[#This Row],[!Name]]) &gt; 0, Table2[[#This Row],[!Name]], "rg:None")</f>
        <v>endDate</v>
      </c>
      <c r="V30" s="38" t="str">
        <f>IF(LEN(Table2[[#This Row],[!Description]]) &gt; 0, Table2[[#This Row],[!Description]], "rg:None")</f>
        <v>The date after which the Verifiable Organization location is no longer active.</v>
      </c>
      <c r="W30" s="38" t="str">
        <f>IF(LEN(Table2[[#This Row],[!FK]])&gt;0,Table2[[#This Row],[!FK]],"rg:None")</f>
        <v>rg:None</v>
      </c>
      <c r="X30" s="38" t="str">
        <f>IF(LEN(concatif2(A:A,Table2[[#This Row],[!Table]],G:G,"Y",D:D,",")) &gt; 0,"rg:[ { 'req' : '"&amp;concatif2(A:A,Table2[[#This Row],[!Table]],G:G,"Y",D:D,"' }, { 'req': '")&amp;"'} ]","rg:[]")</f>
        <v>rg:[ { 'req' : 'id' }, { 'req': 'verifiableOrgId' }, { 'req': 'locationTypeId' }, { 'req': 'effectiveDate'} ]</v>
      </c>
      <c r="Y30" s="38" t="str">
        <f>IF(LEN(Table2[[#This Row],[!Unique]])&gt;0,IF(Table2[[#This Row],[!Type]] = "id", "rg:None","rg:True"),"rg:None")</f>
        <v>rg:None</v>
      </c>
    </row>
    <row r="31" spans="1:25" s="35" customFormat="1" ht="28.8" customHeight="1" x14ac:dyDescent="0.3">
      <c r="A31" s="42" t="s">
        <v>223</v>
      </c>
      <c r="B31" s="42" t="s">
        <v>3</v>
      </c>
      <c r="C31" s="33"/>
      <c r="D31" s="42" t="s">
        <v>223</v>
      </c>
      <c r="E31" s="46" t="s">
        <v>224</v>
      </c>
      <c r="F31" s="34"/>
      <c r="G31" s="45"/>
      <c r="H31" s="45"/>
      <c r="I31" s="35" t="str">
        <f t="shared" ref="I31:I35" si="4">IF(LEN(A31) &gt; 0,"Defs","-")</f>
        <v>Defs</v>
      </c>
      <c r="J31" s="38" t="str">
        <f>IF(Table2[[#This Row],[!Type]]=J$1, J$1,"rg:None")</f>
        <v>rg:None</v>
      </c>
      <c r="K31" s="38" t="str">
        <f>IF(Table2[[#This Row],[!Type]]=K$1, K$1,"rg:None")</f>
        <v>rg:None</v>
      </c>
      <c r="L31" s="38" t="str">
        <f>IF(Table2[[#This Row],[!Type]]=L$1, L$1,"rg:None")</f>
        <v>rg:None</v>
      </c>
      <c r="M31" s="38" t="str">
        <f>IF(Table2[[#This Row],[!Type]]=M$1, M$1,"rg:None")</f>
        <v>rg:None</v>
      </c>
      <c r="N31" s="38" t="str">
        <f>IF(Table2[[#This Row],[!Type]]=N$1, N$1,"rg:None")</f>
        <v>rg:None</v>
      </c>
      <c r="O31" s="38" t="str">
        <f>IF(Table2[[#This Row],[!Type]]=O$1, O$1,"rg:None")</f>
        <v>rg:None</v>
      </c>
      <c r="P31" s="35" t="str">
        <f>IF(Table2[[#This Row],[!Type]]=P$1, P$1,"rg:None")</f>
        <v>rg:None</v>
      </c>
      <c r="Q31" s="35" t="str">
        <f>IF(Table2[[#This Row],[!Type]]=Q$1, Q$1,"rg:None")</f>
        <v>rg:None</v>
      </c>
      <c r="R31" s="35" t="str">
        <f>IF(Table2[[#This Row],[!Type]]=R$1, R$1,"rg:None")</f>
        <v>rg:None</v>
      </c>
      <c r="S31" s="35" t="str">
        <f>IF(Table2[[#This Row],[!Type]]=S$1, S$1,"rg:None")</f>
        <v>table</v>
      </c>
      <c r="T31" s="38" t="str">
        <f>IF(LEN(Table2[[#This Row],[!Length]]) &gt; 0, Table2[[#This Row],[!Length]], "rg:None")</f>
        <v>rg:None</v>
      </c>
      <c r="U31" s="38" t="str">
        <f>IF(LEN(Table2[[#This Row],[!Name]]) &gt; 0, Table2[[#This Row],[!Name]], "rg:None")</f>
        <v>LocationOrg</v>
      </c>
      <c r="V31" s="38" t="str">
        <f>IF(LEN(Table2[[#This Row],[!Description]]) &gt; 0, Table2[[#This Row],[!Description]], "rg:None")</f>
        <v>A table to connect locations to Verifiable Organizations and DoingBusinessAs</v>
      </c>
      <c r="W31" s="38" t="str">
        <f>IF(LEN(Table2[[#This Row],[!FK]])&gt;0,Table2[[#This Row],[!FK]],"rg:None")</f>
        <v>rg:None</v>
      </c>
      <c r="X31" s="38" t="str">
        <f>IF(LEN(concatif2(A:A,Table2[[#This Row],[!Table]],G:G,"Y",D:D,",")) &gt; 0,"rg:[ { 'req' : '"&amp;concatif2(A:A,Table2[[#This Row],[!Table]],G:G,"Y",D:D,"' }, { 'req': '")&amp;"'} ]","rg:[]")</f>
        <v>rg:[ { 'req' : 'id' }, { 'req': 'locationId' }, { 'req': 'verifiableOrgId'} ]</v>
      </c>
      <c r="Y31" s="38" t="str">
        <f>IF(LEN(Table2[[#This Row],[!Unique]])&gt;0,IF(Table2[[#This Row],[!Type]] = "id", "rg:None","rg:True"),"rg:None")</f>
        <v>rg:None</v>
      </c>
    </row>
    <row r="32" spans="1:25" s="35" customFormat="1" ht="28.8" customHeight="1" x14ac:dyDescent="0.3">
      <c r="A32" s="42" t="s">
        <v>223</v>
      </c>
      <c r="B32" s="42" t="s">
        <v>5</v>
      </c>
      <c r="C32" s="33"/>
      <c r="D32" s="42" t="s">
        <v>5</v>
      </c>
      <c r="E32" s="46" t="s">
        <v>225</v>
      </c>
      <c r="F32" s="34"/>
      <c r="G32" s="47" t="s">
        <v>14</v>
      </c>
      <c r="H32" s="47" t="s">
        <v>14</v>
      </c>
      <c r="I32" s="35" t="str">
        <f t="shared" si="4"/>
        <v>Defs</v>
      </c>
      <c r="J32" s="38" t="str">
        <f>IF(Table2[[#This Row],[!Type]]=J$1, J$1,"rg:None")</f>
        <v>rg:None</v>
      </c>
      <c r="K32" s="38" t="str">
        <f>IF(Table2[[#This Row],[!Type]]=K$1, K$1,"rg:None")</f>
        <v>rg:None</v>
      </c>
      <c r="L32" s="38" t="str">
        <f>IF(Table2[[#This Row],[!Type]]=L$1, L$1,"rg:None")</f>
        <v>rg:None</v>
      </c>
      <c r="M32" s="38" t="str">
        <f>IF(Table2[[#This Row],[!Type]]=M$1, M$1,"rg:None")</f>
        <v>id</v>
      </c>
      <c r="N32" s="38" t="str">
        <f>IF(Table2[[#This Row],[!Type]]=N$1, N$1,"rg:None")</f>
        <v>rg:None</v>
      </c>
      <c r="O32" s="38" t="str">
        <f>IF(Table2[[#This Row],[!Type]]=O$1, O$1,"rg:None")</f>
        <v>rg:None</v>
      </c>
      <c r="P32" s="35" t="str">
        <f>IF(Table2[[#This Row],[!Type]]=P$1, P$1,"rg:None")</f>
        <v>rg:None</v>
      </c>
      <c r="Q32" s="35" t="str">
        <f>IF(Table2[[#This Row],[!Type]]=Q$1, Q$1,"rg:None")</f>
        <v>rg:None</v>
      </c>
      <c r="R32" s="35" t="str">
        <f>IF(Table2[[#This Row],[!Type]]=R$1, R$1,"rg:None")</f>
        <v>rg:None</v>
      </c>
      <c r="S32" s="35" t="str">
        <f>IF(Table2[[#This Row],[!Type]]=S$1, S$1,"rg:None")</f>
        <v>rg:None</v>
      </c>
      <c r="T32" s="38" t="str">
        <f>IF(LEN(Table2[[#This Row],[!Length]]) &gt; 0, Table2[[#This Row],[!Length]], "rg:None")</f>
        <v>rg:None</v>
      </c>
      <c r="U32" s="38" t="str">
        <f>IF(LEN(Table2[[#This Row],[!Name]]) &gt; 0, Table2[[#This Row],[!Name]], "rg:None")</f>
        <v>id</v>
      </c>
      <c r="V32" s="38" t="str">
        <f>IF(LEN(Table2[[#This Row],[!Description]]) &gt; 0, Table2[[#This Row],[!Description]], "rg:None")</f>
        <v>A system-generated unique identifier for a Location Organization</v>
      </c>
      <c r="W32" s="38" t="str">
        <f>IF(LEN(Table2[[#This Row],[!FK]])&gt;0,Table2[[#This Row],[!FK]],"rg:None")</f>
        <v>rg:None</v>
      </c>
      <c r="X32" s="38" t="str">
        <f>IF(LEN(concatif2(A:A,Table2[[#This Row],[!Table]],G:G,"Y",D:D,",")) &gt; 0,"rg:[ { 'req' : '"&amp;concatif2(A:A,Table2[[#This Row],[!Table]],G:G,"Y",D:D,"' }, { 'req': '")&amp;"'} ]","rg:[]")</f>
        <v>rg:[ { 'req' : 'id' }, { 'req': 'locationId' }, { 'req': 'verifiableOrgId'} ]</v>
      </c>
      <c r="Y32" s="38" t="str">
        <f>IF(LEN(Table2[[#This Row],[!Unique]])&gt;0,IF(Table2[[#This Row],[!Type]] = "id", "rg:None","rg:True"),"rg:None")</f>
        <v>rg:None</v>
      </c>
    </row>
    <row r="33" spans="1:25" s="35" customFormat="1" ht="28.8" customHeight="1" x14ac:dyDescent="0.3">
      <c r="A33" s="42" t="s">
        <v>223</v>
      </c>
      <c r="B33" s="42" t="s">
        <v>7</v>
      </c>
      <c r="C33" s="33"/>
      <c r="D33" s="42" t="s">
        <v>229</v>
      </c>
      <c r="E33" s="46" t="s">
        <v>230</v>
      </c>
      <c r="F33" s="48" t="s">
        <v>207</v>
      </c>
      <c r="G33" s="47" t="s">
        <v>14</v>
      </c>
      <c r="H33" s="45"/>
      <c r="I33" s="35" t="str">
        <f>IF(LEN(A33) &gt; 0,"Defs","-")</f>
        <v>Defs</v>
      </c>
      <c r="J33" s="38" t="str">
        <f>IF(Table2[[#This Row],[!Type]]=J$1, J$1,"rg:None")</f>
        <v>rg:None</v>
      </c>
      <c r="K33" s="38" t="str">
        <f>IF(Table2[[#This Row],[!Type]]=K$1, K$1,"rg:None")</f>
        <v>rg:None</v>
      </c>
      <c r="L33" s="38" t="str">
        <f>IF(Table2[[#This Row],[!Type]]=L$1, L$1,"rg:None")</f>
        <v>rg:None</v>
      </c>
      <c r="M33" s="38" t="str">
        <f>IF(Table2[[#This Row],[!Type]]=M$1, M$1,"rg:None")</f>
        <v>rg:None</v>
      </c>
      <c r="N33" s="38" t="str">
        <f>IF(Table2[[#This Row],[!Type]]=N$1, N$1,"rg:None")</f>
        <v>rg:None</v>
      </c>
      <c r="O33" s="38" t="str">
        <f>IF(Table2[[#This Row],[!Type]]=O$1, O$1,"rg:None")</f>
        <v>rg:None</v>
      </c>
      <c r="P33" s="35" t="str">
        <f>IF(Table2[[#This Row],[!Type]]=P$1, P$1,"rg:None")</f>
        <v>rg:None</v>
      </c>
      <c r="Q33" s="35" t="str">
        <f>IF(Table2[[#This Row],[!Type]]=Q$1, Q$1,"rg:None")</f>
        <v>ref</v>
      </c>
      <c r="R33" s="35" t="str">
        <f>IF(Table2[[#This Row],[!Type]]=R$1, R$1,"rg:None")</f>
        <v>rg:None</v>
      </c>
      <c r="S33" s="35" t="str">
        <f>IF(Table2[[#This Row],[!Type]]=S$1, S$1,"rg:None")</f>
        <v>rg:None</v>
      </c>
      <c r="T33" s="38" t="str">
        <f>IF(LEN(Table2[[#This Row],[!Length]]) &gt; 0, Table2[[#This Row],[!Length]], "rg:None")</f>
        <v>rg:None</v>
      </c>
      <c r="U33" s="38" t="str">
        <f>IF(LEN(Table2[[#This Row],[!Name]]) &gt; 0, Table2[[#This Row],[!Name]], "rg:None")</f>
        <v>locationId</v>
      </c>
      <c r="V33" s="38" t="str">
        <f>IF(LEN(Table2[[#This Row],[!Description]]) &gt; 0, Table2[[#This Row],[!Description]], "rg:None")</f>
        <v>A foreign key reference into the Location table.</v>
      </c>
      <c r="W33" s="38" t="str">
        <f>IF(LEN(Table2[[#This Row],[!FK]])&gt;0,Table2[[#This Row],[!FK]],"rg:None")</f>
        <v>Location</v>
      </c>
      <c r="X33" s="38" t="str">
        <f>IF(LEN(concatif2(A:A,Table2[[#This Row],[!Table]],G:G,"Y",D:D,",")) &gt; 0,"rg:[ { 'req' : '"&amp;concatif2(A:A,Table2[[#This Row],[!Table]],G:G,"Y",D:D,"' }, { 'req': '")&amp;"'} ]","rg:[]")</f>
        <v>rg:[ { 'req' : 'id' }, { 'req': 'locationId' }, { 'req': 'verifiableOrgId'} ]</v>
      </c>
      <c r="Y33" s="38" t="str">
        <f>IF(LEN(Table2[[#This Row],[!Unique]])&gt;0,IF(Table2[[#This Row],[!Type]] = "id", "rg:None","rg:True"),"rg:None")</f>
        <v>rg:None</v>
      </c>
    </row>
    <row r="34" spans="1:25" s="35" customFormat="1" ht="28.8" customHeight="1" x14ac:dyDescent="0.3">
      <c r="A34" s="42" t="s">
        <v>223</v>
      </c>
      <c r="B34" s="42" t="s">
        <v>7</v>
      </c>
      <c r="C34" s="33"/>
      <c r="D34" s="42" t="s">
        <v>226</v>
      </c>
      <c r="E34" s="39" t="s">
        <v>79</v>
      </c>
      <c r="F34" s="33" t="s">
        <v>176</v>
      </c>
      <c r="G34" s="47" t="s">
        <v>14</v>
      </c>
      <c r="H34" s="45"/>
      <c r="I34" s="35" t="str">
        <f t="shared" si="4"/>
        <v>Defs</v>
      </c>
      <c r="J34" s="38" t="str">
        <f>IF(Table2[[#This Row],[!Type]]=J$1, J$1,"rg:None")</f>
        <v>rg:None</v>
      </c>
      <c r="K34" s="38" t="str">
        <f>IF(Table2[[#This Row],[!Type]]=K$1, K$1,"rg:None")</f>
        <v>rg:None</v>
      </c>
      <c r="L34" s="38" t="str">
        <f>IF(Table2[[#This Row],[!Type]]=L$1, L$1,"rg:None")</f>
        <v>rg:None</v>
      </c>
      <c r="M34" s="38" t="str">
        <f>IF(Table2[[#This Row],[!Type]]=M$1, M$1,"rg:None")</f>
        <v>rg:None</v>
      </c>
      <c r="N34" s="38" t="str">
        <f>IF(Table2[[#This Row],[!Type]]=N$1, N$1,"rg:None")</f>
        <v>rg:None</v>
      </c>
      <c r="O34" s="38" t="str">
        <f>IF(Table2[[#This Row],[!Type]]=O$1, O$1,"rg:None")</f>
        <v>rg:None</v>
      </c>
      <c r="P34" s="35" t="str">
        <f>IF(Table2[[#This Row],[!Type]]=P$1, P$1,"rg:None")</f>
        <v>rg:None</v>
      </c>
      <c r="Q34" s="35" t="str">
        <f>IF(Table2[[#This Row],[!Type]]=Q$1, Q$1,"rg:None")</f>
        <v>ref</v>
      </c>
      <c r="R34" s="35" t="str">
        <f>IF(Table2[[#This Row],[!Type]]=R$1, R$1,"rg:None")</f>
        <v>rg:None</v>
      </c>
      <c r="S34" s="35" t="str">
        <f>IF(Table2[[#This Row],[!Type]]=S$1, S$1,"rg:None")</f>
        <v>rg:None</v>
      </c>
      <c r="T34" s="38" t="str">
        <f>IF(LEN(Table2[[#This Row],[!Length]]) &gt; 0, Table2[[#This Row],[!Length]], "rg:None")</f>
        <v>rg:None</v>
      </c>
      <c r="U34" s="38" t="str">
        <f>IF(LEN(Table2[[#This Row],[!Name]]) &gt; 0, Table2[[#This Row],[!Name]], "rg:None")</f>
        <v>verifiableOrgId</v>
      </c>
      <c r="V34" s="38" t="str">
        <f>IF(LEN(Table2[[#This Row],[!Description]]) &gt; 0, Table2[[#This Row],[!Description]], "rg:None")</f>
        <v>A foreign key reference into the VerfiedOrg table.</v>
      </c>
      <c r="W34" s="38" t="str">
        <f>IF(LEN(Table2[[#This Row],[!FK]])&gt;0,Table2[[#This Row],[!FK]],"rg:None")</f>
        <v>VerifiableOrg</v>
      </c>
      <c r="X34" s="38" t="str">
        <f>IF(LEN(concatif2(A:A,Table2[[#This Row],[!Table]],G:G,"Y",D:D,",")) &gt; 0,"rg:[ { 'req' : '"&amp;concatif2(A:A,Table2[[#This Row],[!Table]],G:G,"Y",D:D,"' }, { 'req': '")&amp;"'} ]","rg:[]")</f>
        <v>rg:[ { 'req' : 'id' }, { 'req': 'locationId' }, { 'req': 'verifiableOrgId'} ]</v>
      </c>
      <c r="Y34" s="38" t="str">
        <f>IF(LEN(Table2[[#This Row],[!Unique]])&gt;0,IF(Table2[[#This Row],[!Type]] = "id", "rg:None","rg:True"),"rg:None")</f>
        <v>rg:None</v>
      </c>
    </row>
    <row r="35" spans="1:25" s="35" customFormat="1" ht="28.8" customHeight="1" x14ac:dyDescent="0.3">
      <c r="A35" s="42" t="s">
        <v>223</v>
      </c>
      <c r="B35" s="42" t="s">
        <v>7</v>
      </c>
      <c r="C35" s="33"/>
      <c r="D35" s="42" t="s">
        <v>227</v>
      </c>
      <c r="E35" s="46" t="s">
        <v>228</v>
      </c>
      <c r="F35" s="27" t="s">
        <v>209</v>
      </c>
      <c r="G35" s="45"/>
      <c r="H35" s="45"/>
      <c r="I35" s="35" t="str">
        <f t="shared" si="4"/>
        <v>Defs</v>
      </c>
      <c r="J35" s="38" t="str">
        <f>IF(Table2[[#This Row],[!Type]]=J$1, J$1,"rg:None")</f>
        <v>rg:None</v>
      </c>
      <c r="K35" s="38" t="str">
        <f>IF(Table2[[#This Row],[!Type]]=K$1, K$1,"rg:None")</f>
        <v>rg:None</v>
      </c>
      <c r="L35" s="38" t="str">
        <f>IF(Table2[[#This Row],[!Type]]=L$1, L$1,"rg:None")</f>
        <v>rg:None</v>
      </c>
      <c r="M35" s="38" t="str">
        <f>IF(Table2[[#This Row],[!Type]]=M$1, M$1,"rg:None")</f>
        <v>rg:None</v>
      </c>
      <c r="N35" s="38" t="str">
        <f>IF(Table2[[#This Row],[!Type]]=N$1, N$1,"rg:None")</f>
        <v>rg:None</v>
      </c>
      <c r="O35" s="38" t="str">
        <f>IF(Table2[[#This Row],[!Type]]=O$1, O$1,"rg:None")</f>
        <v>rg:None</v>
      </c>
      <c r="P35" s="35" t="str">
        <f>IF(Table2[[#This Row],[!Type]]=P$1, P$1,"rg:None")</f>
        <v>rg:None</v>
      </c>
      <c r="Q35" s="35" t="str">
        <f>IF(Table2[[#This Row],[!Type]]=Q$1, Q$1,"rg:None")</f>
        <v>ref</v>
      </c>
      <c r="R35" s="35" t="str">
        <f>IF(Table2[[#This Row],[!Type]]=R$1, R$1,"rg:None")</f>
        <v>rg:None</v>
      </c>
      <c r="S35" s="35" t="str">
        <f>IF(Table2[[#This Row],[!Type]]=S$1, S$1,"rg:None")</f>
        <v>rg:None</v>
      </c>
      <c r="T35" s="38" t="str">
        <f>IF(LEN(Table2[[#This Row],[!Length]]) &gt; 0, Table2[[#This Row],[!Length]], "rg:None")</f>
        <v>rg:None</v>
      </c>
      <c r="U35" s="38" t="str">
        <f>IF(LEN(Table2[[#This Row],[!Name]]) &gt; 0, Table2[[#This Row],[!Name]], "rg:None")</f>
        <v>doingBusinessAsId</v>
      </c>
      <c r="V35" s="38" t="str">
        <f>IF(LEN(Table2[[#This Row],[!Description]]) &gt; 0, Table2[[#This Row],[!Description]], "rg:None")</f>
        <v>An optional foreign key reference into the DoingBusinessAs table.</v>
      </c>
      <c r="W35" s="38" t="str">
        <f>IF(LEN(Table2[[#This Row],[!FK]])&gt;0,Table2[[#This Row],[!FK]],"rg:None")</f>
        <v>DoingBusinessAs</v>
      </c>
      <c r="X35" s="38" t="str">
        <f>IF(LEN(concatif2(A:A,Table2[[#This Row],[!Table]],G:G,"Y",D:D,",")) &gt; 0,"rg:[ { 'req' : '"&amp;concatif2(A:A,Table2[[#This Row],[!Table]],G:G,"Y",D:D,"' }, { 'req': '")&amp;"'} ]","rg:[]")</f>
        <v>rg:[ { 'req' : 'id' }, { 'req': 'locationId' }, { 'req': 'verifiableOrgId'} ]</v>
      </c>
      <c r="Y35" s="38" t="str">
        <f>IF(LEN(Table2[[#This Row],[!Unique]])&gt;0,IF(Table2[[#This Row],[!Type]] = "id", "rg:None","rg:True"),"rg:None")</f>
        <v>rg:None</v>
      </c>
    </row>
    <row r="36" spans="1:25" s="35" customFormat="1" ht="28.8" customHeight="1" x14ac:dyDescent="0.3">
      <c r="A36" s="27" t="s">
        <v>208</v>
      </c>
      <c r="B36" s="33" t="s">
        <v>3</v>
      </c>
      <c r="C36" s="33"/>
      <c r="D36" s="27" t="s">
        <v>208</v>
      </c>
      <c r="E36" s="39" t="s">
        <v>193</v>
      </c>
      <c r="F36" s="34"/>
      <c r="G36" s="37"/>
      <c r="H36" s="37"/>
      <c r="I36" s="35" t="str">
        <f t="shared" si="2"/>
        <v>Defs</v>
      </c>
      <c r="J36" s="38" t="str">
        <f>IF(Table2[[#This Row],[!Type]]=J$1, J$1,"rg:None")</f>
        <v>rg:None</v>
      </c>
      <c r="K36" s="38" t="str">
        <f>IF(Table2[[#This Row],[!Type]]=K$1, K$1,"rg:None")</f>
        <v>rg:None</v>
      </c>
      <c r="L36" s="38" t="str">
        <f>IF(Table2[[#This Row],[!Type]]=L$1, L$1,"rg:None")</f>
        <v>rg:None</v>
      </c>
      <c r="M36" s="38" t="str">
        <f>IF(Table2[[#This Row],[!Type]]=M$1, M$1,"rg:None")</f>
        <v>rg:None</v>
      </c>
      <c r="N36" s="38" t="str">
        <f>IF(Table2[[#This Row],[!Type]]=N$1, N$1,"rg:None")</f>
        <v>rg:None</v>
      </c>
      <c r="O36" s="38" t="str">
        <f>IF(Table2[[#This Row],[!Type]]=O$1, O$1,"rg:None")</f>
        <v>rg:None</v>
      </c>
      <c r="P36" s="35" t="str">
        <f>IF(Table2[[#This Row],[!Type]]=P$1, P$1,"rg:None")</f>
        <v>rg:None</v>
      </c>
      <c r="Q36" s="35" t="str">
        <f>IF(Table2[[#This Row],[!Type]]=Q$1, Q$1,"rg:None")</f>
        <v>rg:None</v>
      </c>
      <c r="R36" s="35" t="str">
        <f>IF(Table2[[#This Row],[!Type]]=R$1, R$1,"rg:None")</f>
        <v>rg:None</v>
      </c>
      <c r="S36" s="35" t="str">
        <f>IF(Table2[[#This Row],[!Type]]=S$1, S$1,"rg:None")</f>
        <v>table</v>
      </c>
      <c r="T36" s="38" t="str">
        <f>IF(LEN(Table2[[#This Row],[!Length]]) &gt; 0, Table2[[#This Row],[!Length]], "rg:None")</f>
        <v>rg:None</v>
      </c>
      <c r="U36" s="38" t="str">
        <f>IF(LEN(Table2[[#This Row],[!Name]]) &gt; 0, Table2[[#This Row],[!Name]], "rg:None")</f>
        <v>LocationType</v>
      </c>
      <c r="V36" s="38" t="str">
        <f>IF(LEN(Table2[[#This Row],[!Description]]) &gt; 0, Table2[[#This Row],[!Description]], "rg:None")</f>
        <v>A list of the possible types of a Verifiable Organization location</v>
      </c>
      <c r="W36" s="38" t="str">
        <f>IF(LEN(Table2[[#This Row],[!FK]])&gt;0,Table2[[#This Row],[!FK]],"rg:None")</f>
        <v>rg:None</v>
      </c>
      <c r="X36" s="38" t="str">
        <f>IF(LEN(concatif2(A:A,Table2[[#This Row],[!Table]],G:G,"Y",D:D,",")) &gt; 0,"rg:[ { 'req' : '"&amp;concatif2(A:A,Table2[[#This Row],[!Table]],G:G,"Y",D:D,"' }, { 'req': '")&amp;"'} ]","rg:[]")</f>
        <v>rg:[ { 'req' : 'id' }, { 'req': 'locType' }, { 'req': 'description' }, { 'req': 'effectiveDate'} ]</v>
      </c>
      <c r="Y36" s="38" t="str">
        <f>IF(LEN(Table2[[#This Row],[!Unique]])&gt;0,IF(Table2[[#This Row],[!Type]] = "id", "rg:None","rg:True"),"rg:None")</f>
        <v>rg:None</v>
      </c>
    </row>
    <row r="37" spans="1:25" s="35" customFormat="1" ht="28.8" x14ac:dyDescent="0.3">
      <c r="A37" s="27" t="s">
        <v>208</v>
      </c>
      <c r="B37" s="33" t="s">
        <v>5</v>
      </c>
      <c r="C37" s="33"/>
      <c r="D37" s="33" t="s">
        <v>5</v>
      </c>
      <c r="E37" s="39" t="s">
        <v>194</v>
      </c>
      <c r="F37" s="34"/>
      <c r="G37" s="37" t="s">
        <v>14</v>
      </c>
      <c r="H37" s="37" t="s">
        <v>14</v>
      </c>
      <c r="I37" s="35" t="str">
        <f t="shared" si="2"/>
        <v>Defs</v>
      </c>
      <c r="J37" s="38" t="str">
        <f>IF(Table2[[#This Row],[!Type]]=J$1, J$1,"rg:None")</f>
        <v>rg:None</v>
      </c>
      <c r="K37" s="38" t="str">
        <f>IF(Table2[[#This Row],[!Type]]=K$1, K$1,"rg:None")</f>
        <v>rg:None</v>
      </c>
      <c r="L37" s="38" t="str">
        <f>IF(Table2[[#This Row],[!Type]]=L$1, L$1,"rg:None")</f>
        <v>rg:None</v>
      </c>
      <c r="M37" s="38" t="str">
        <f>IF(Table2[[#This Row],[!Type]]=M$1, M$1,"rg:None")</f>
        <v>id</v>
      </c>
      <c r="N37" s="38" t="str">
        <f>IF(Table2[[#This Row],[!Type]]=N$1, N$1,"rg:None")</f>
        <v>rg:None</v>
      </c>
      <c r="O37" s="38" t="str">
        <f>IF(Table2[[#This Row],[!Type]]=O$1, O$1,"rg:None")</f>
        <v>rg:None</v>
      </c>
      <c r="P37" s="35" t="str">
        <f>IF(Table2[[#This Row],[!Type]]=P$1, P$1,"rg:None")</f>
        <v>rg:None</v>
      </c>
      <c r="Q37" s="35" t="str">
        <f>IF(Table2[[#This Row],[!Type]]=Q$1, Q$1,"rg:None")</f>
        <v>rg:None</v>
      </c>
      <c r="R37" s="35" t="str">
        <f>IF(Table2[[#This Row],[!Type]]=R$1, R$1,"rg:None")</f>
        <v>rg:None</v>
      </c>
      <c r="S37" s="35" t="str">
        <f>IF(Table2[[#This Row],[!Type]]=S$1, S$1,"rg:None")</f>
        <v>rg:None</v>
      </c>
      <c r="T37" s="38" t="str">
        <f>IF(LEN(Table2[[#This Row],[!Length]]) &gt; 0, Table2[[#This Row],[!Length]], "rg:None")</f>
        <v>rg:None</v>
      </c>
      <c r="U37" s="38" t="str">
        <f>IF(LEN(Table2[[#This Row],[!Name]]) &gt; 0, Table2[[#This Row],[!Name]], "rg:None")</f>
        <v>id</v>
      </c>
      <c r="V37" s="38" t="str">
        <f>IF(LEN(Table2[[#This Row],[!Description]]) &gt; 0, Table2[[#This Row],[!Description]], "rg:None")</f>
        <v>A system-generated unique identifier for a Verifiable Organization Location Type.</v>
      </c>
      <c r="W37" s="38" t="str">
        <f>IF(LEN(Table2[[#This Row],[!FK]])&gt;0,Table2[[#This Row],[!FK]],"rg:None")</f>
        <v>rg:None</v>
      </c>
      <c r="X37" s="38" t="str">
        <f>IF(LEN(concatif2(A:A,Table2[[#This Row],[!Table]],G:G,"Y",D:D,",")) &gt; 0,"rg:[ { 'req' : '"&amp;concatif2(A:A,Table2[[#This Row],[!Table]],G:G,"Y",D:D,"' }, { 'req': '")&amp;"'} ]","rg:[]")</f>
        <v>rg:[ { 'req' : 'id' }, { 'req': 'locType' }, { 'req': 'description' }, { 'req': 'effectiveDate'} ]</v>
      </c>
      <c r="Y37" s="38" t="str">
        <f>IF(LEN(Table2[[#This Row],[!Unique]])&gt;0,IF(Table2[[#This Row],[!Type]] = "id", "rg:None","rg:True"),"rg:None")</f>
        <v>rg:None</v>
      </c>
    </row>
    <row r="38" spans="1:25" s="35" customFormat="1" ht="28.8" customHeight="1" x14ac:dyDescent="0.3">
      <c r="A38" s="27" t="s">
        <v>208</v>
      </c>
      <c r="B38" s="33" t="s">
        <v>6</v>
      </c>
      <c r="C38" s="33"/>
      <c r="D38" s="42" t="s">
        <v>234</v>
      </c>
      <c r="E38" s="39" t="s">
        <v>195</v>
      </c>
      <c r="F38" s="34"/>
      <c r="G38" s="37" t="s">
        <v>14</v>
      </c>
      <c r="H38" s="37"/>
      <c r="I38" s="35" t="str">
        <f t="shared" si="2"/>
        <v>Defs</v>
      </c>
      <c r="J38" s="38" t="str">
        <f>IF(Table2[[#This Row],[!Type]]=J$1, J$1,"rg:None")</f>
        <v>rg:None</v>
      </c>
      <c r="K38" s="38" t="str">
        <f>IF(Table2[[#This Row],[!Type]]=K$1, K$1,"rg:None")</f>
        <v>rg:None</v>
      </c>
      <c r="L38" s="38" t="str">
        <f>IF(Table2[[#This Row],[!Type]]=L$1, L$1,"rg:None")</f>
        <v>rg:None</v>
      </c>
      <c r="M38" s="38" t="str">
        <f>IF(Table2[[#This Row],[!Type]]=M$1, M$1,"rg:None")</f>
        <v>rg:None</v>
      </c>
      <c r="N38" s="38" t="str">
        <f>IF(Table2[[#This Row],[!Type]]=N$1, N$1,"rg:None")</f>
        <v>rg:None</v>
      </c>
      <c r="O38" s="38" t="str">
        <f>IF(Table2[[#This Row],[!Type]]=O$1, O$1,"rg:None")</f>
        <v>rg:None</v>
      </c>
      <c r="P38" s="35" t="str">
        <f>IF(Table2[[#This Row],[!Type]]=P$1, P$1,"rg:None")</f>
        <v>rg:None</v>
      </c>
      <c r="Q38" s="35" t="str">
        <f>IF(Table2[[#This Row],[!Type]]=Q$1, Q$1,"rg:None")</f>
        <v>rg:None</v>
      </c>
      <c r="R38" s="35" t="str">
        <f>IF(Table2[[#This Row],[!Type]]=R$1, R$1,"rg:None")</f>
        <v>string</v>
      </c>
      <c r="S38" s="35" t="str">
        <f>IF(Table2[[#This Row],[!Type]]=S$1, S$1,"rg:None")</f>
        <v>rg:None</v>
      </c>
      <c r="T38" s="38" t="str">
        <f>IF(LEN(Table2[[#This Row],[!Length]]) &gt; 0, Table2[[#This Row],[!Length]], "rg:None")</f>
        <v>rg:None</v>
      </c>
      <c r="U38" s="38" t="str">
        <f>IF(LEN(Table2[[#This Row],[!Name]]) &gt; 0, Table2[[#This Row],[!Name]], "rg:None")</f>
        <v>locType</v>
      </c>
      <c r="V38" s="38" t="str">
        <f>IF(LEN(Table2[[#This Row],[!Description]]) &gt; 0, Table2[[#This Row],[!Description]], "rg:None")</f>
        <v>The name of the type of Verifiable Organization Location, such as headquarters, regional office, etc.</v>
      </c>
      <c r="W38" s="38" t="str">
        <f>IF(LEN(Table2[[#This Row],[!FK]])&gt;0,Table2[[#This Row],[!FK]],"rg:None")</f>
        <v>rg:None</v>
      </c>
      <c r="X38" s="38" t="str">
        <f>IF(LEN(concatif2(A:A,Table2[[#This Row],[!Table]],G:G,"Y",D:D,",")) &gt; 0,"rg:[ { 'req' : '"&amp;concatif2(A:A,Table2[[#This Row],[!Table]],G:G,"Y",D:D,"' }, { 'req': '")&amp;"'} ]","rg:[]")</f>
        <v>rg:[ { 'req' : 'id' }, { 'req': 'locType' }, { 'req': 'description' }, { 'req': 'effectiveDate'} ]</v>
      </c>
      <c r="Y38" s="38" t="str">
        <f>IF(LEN(Table2[[#This Row],[!Unique]])&gt;0,IF(Table2[[#This Row],[!Type]] = "id", "rg:None","rg:True"),"rg:None")</f>
        <v>rg:None</v>
      </c>
    </row>
    <row r="39" spans="1:25" s="35" customFormat="1" ht="28.8" customHeight="1" x14ac:dyDescent="0.3">
      <c r="A39" s="27" t="s">
        <v>208</v>
      </c>
      <c r="B39" s="33" t="s">
        <v>6</v>
      </c>
      <c r="C39" s="33"/>
      <c r="D39" s="33" t="s">
        <v>11</v>
      </c>
      <c r="E39" s="39" t="s">
        <v>196</v>
      </c>
      <c r="F39" s="34"/>
      <c r="G39" s="37" t="s">
        <v>14</v>
      </c>
      <c r="H39" s="37"/>
      <c r="I39" s="35" t="str">
        <f t="shared" si="2"/>
        <v>Defs</v>
      </c>
      <c r="J39" s="38" t="str">
        <f>IF(Table2[[#This Row],[!Type]]=J$1, J$1,"rg:None")</f>
        <v>rg:None</v>
      </c>
      <c r="K39" s="38" t="str">
        <f>IF(Table2[[#This Row],[!Type]]=K$1, K$1,"rg:None")</f>
        <v>rg:None</v>
      </c>
      <c r="L39" s="38" t="str">
        <f>IF(Table2[[#This Row],[!Type]]=L$1, L$1,"rg:None")</f>
        <v>rg:None</v>
      </c>
      <c r="M39" s="38" t="str">
        <f>IF(Table2[[#This Row],[!Type]]=M$1, M$1,"rg:None")</f>
        <v>rg:None</v>
      </c>
      <c r="N39" s="38" t="str">
        <f>IF(Table2[[#This Row],[!Type]]=N$1, N$1,"rg:None")</f>
        <v>rg:None</v>
      </c>
      <c r="O39" s="38" t="str">
        <f>IF(Table2[[#This Row],[!Type]]=O$1, O$1,"rg:None")</f>
        <v>rg:None</v>
      </c>
      <c r="P39" s="35" t="str">
        <f>IF(Table2[[#This Row],[!Type]]=P$1, P$1,"rg:None")</f>
        <v>rg:None</v>
      </c>
      <c r="Q39" s="35" t="str">
        <f>IF(Table2[[#This Row],[!Type]]=Q$1, Q$1,"rg:None")</f>
        <v>rg:None</v>
      </c>
      <c r="R39" s="35" t="str">
        <f>IF(Table2[[#This Row],[!Type]]=R$1, R$1,"rg:None")</f>
        <v>string</v>
      </c>
      <c r="S39" s="35" t="str">
        <f>IF(Table2[[#This Row],[!Type]]=S$1, S$1,"rg:None")</f>
        <v>rg:None</v>
      </c>
      <c r="T39" s="38" t="str">
        <f>IF(LEN(Table2[[#This Row],[!Length]]) &gt; 0, Table2[[#This Row],[!Length]], "rg:None")</f>
        <v>rg:None</v>
      </c>
      <c r="U39" s="38" t="str">
        <f>IF(LEN(Table2[[#This Row],[!Name]]) &gt; 0, Table2[[#This Row],[!Name]], "rg:None")</f>
        <v>description</v>
      </c>
      <c r="V39" s="38" t="str">
        <f>IF(LEN(Table2[[#This Row],[!Description]]) &gt; 0, Table2[[#This Row],[!Description]], "rg:None")</f>
        <v>End user help-text information about the Verifiable Organization Location type.</v>
      </c>
      <c r="W39" s="38" t="str">
        <f>IF(LEN(Table2[[#This Row],[!FK]])&gt;0,Table2[[#This Row],[!FK]],"rg:None")</f>
        <v>rg:None</v>
      </c>
      <c r="X39" s="38" t="str">
        <f>IF(LEN(concatif2(A:A,Table2[[#This Row],[!Table]],G:G,"Y",D:D,",")) &gt; 0,"rg:[ { 'req' : '"&amp;concatif2(A:A,Table2[[#This Row],[!Table]],G:G,"Y",D:D,"' }, { 'req': '")&amp;"'} ]","rg:[]")</f>
        <v>rg:[ { 'req' : 'id' }, { 'req': 'locType' }, { 'req': 'description' }, { 'req': 'effectiveDate'} ]</v>
      </c>
      <c r="Y39" s="38" t="str">
        <f>IF(LEN(Table2[[#This Row],[!Unique]])&gt;0,IF(Table2[[#This Row],[!Type]] = "id", "rg:None","rg:True"),"rg:None")</f>
        <v>rg:None</v>
      </c>
    </row>
    <row r="40" spans="1:25" s="35" customFormat="1" ht="28.8" customHeight="1" x14ac:dyDescent="0.3">
      <c r="A40" s="27" t="s">
        <v>208</v>
      </c>
      <c r="B40" s="33" t="s">
        <v>9</v>
      </c>
      <c r="C40" s="33"/>
      <c r="D40" s="33" t="s">
        <v>52</v>
      </c>
      <c r="E40" s="39" t="s">
        <v>197</v>
      </c>
      <c r="F40" s="34"/>
      <c r="G40" s="37" t="s">
        <v>14</v>
      </c>
      <c r="H40" s="37"/>
      <c r="I40" s="35" t="str">
        <f t="shared" si="2"/>
        <v>Defs</v>
      </c>
      <c r="J40" s="38" t="str">
        <f>IF(Table2[[#This Row],[!Type]]=J$1, J$1,"rg:None")</f>
        <v>rg:None</v>
      </c>
      <c r="K40" s="38" t="str">
        <f>IF(Table2[[#This Row],[!Type]]=K$1, K$1,"rg:None")</f>
        <v>rg:None</v>
      </c>
      <c r="L40" s="38" t="str">
        <f>IF(Table2[[#This Row],[!Type]]=L$1, L$1,"rg:None")</f>
        <v>datetime</v>
      </c>
      <c r="M40" s="38" t="str">
        <f>IF(Table2[[#This Row],[!Type]]=M$1, M$1,"rg:None")</f>
        <v>rg:None</v>
      </c>
      <c r="N40" s="38" t="str">
        <f>IF(Table2[[#This Row],[!Type]]=N$1, N$1,"rg:None")</f>
        <v>rg:None</v>
      </c>
      <c r="O40" s="38" t="str">
        <f>IF(Table2[[#This Row],[!Type]]=O$1, O$1,"rg:None")</f>
        <v>rg:None</v>
      </c>
      <c r="P40" s="35" t="str">
        <f>IF(Table2[[#This Row],[!Type]]=P$1, P$1,"rg:None")</f>
        <v>rg:None</v>
      </c>
      <c r="Q40" s="35" t="str">
        <f>IF(Table2[[#This Row],[!Type]]=Q$1, Q$1,"rg:None")</f>
        <v>rg:None</v>
      </c>
      <c r="R40" s="35" t="str">
        <f>IF(Table2[[#This Row],[!Type]]=R$1, R$1,"rg:None")</f>
        <v>rg:None</v>
      </c>
      <c r="S40" s="35" t="str">
        <f>IF(Table2[[#This Row],[!Type]]=S$1, S$1,"rg:None")</f>
        <v>rg:None</v>
      </c>
      <c r="T40" s="38" t="str">
        <f>IF(LEN(Table2[[#This Row],[!Length]]) &gt; 0, Table2[[#This Row],[!Length]], "rg:None")</f>
        <v>rg:None</v>
      </c>
      <c r="U40" s="38" t="str">
        <f>IF(LEN(Table2[[#This Row],[!Name]]) &gt; 0, Table2[[#This Row],[!Name]], "rg:None")</f>
        <v>effectiveDate</v>
      </c>
      <c r="V40" s="38" t="str">
        <f>IF(LEN(Table2[[#This Row],[!Description]]) &gt; 0, Table2[[#This Row],[!Description]], "rg:None")</f>
        <v>The date upon which the Verifiable Organization Location type was activated for use.</v>
      </c>
      <c r="W40" s="38" t="str">
        <f>IF(LEN(Table2[[#This Row],[!FK]])&gt;0,Table2[[#This Row],[!FK]],"rg:None")</f>
        <v>rg:None</v>
      </c>
      <c r="X40" s="38" t="str">
        <f>IF(LEN(concatif2(A:A,Table2[[#This Row],[!Table]],G:G,"Y",D:D,",")) &gt; 0,"rg:[ { 'req' : '"&amp;concatif2(A:A,Table2[[#This Row],[!Table]],G:G,"Y",D:D,"' }, { 'req': '")&amp;"'} ]","rg:[]")</f>
        <v>rg:[ { 'req' : 'id' }, { 'req': 'locType' }, { 'req': 'description' }, { 'req': 'effectiveDate'} ]</v>
      </c>
      <c r="Y40" s="38" t="str">
        <f>IF(LEN(Table2[[#This Row],[!Unique]])&gt;0,IF(Table2[[#This Row],[!Type]] = "id", "rg:None","rg:True"),"rg:None")</f>
        <v>rg:None</v>
      </c>
    </row>
    <row r="41" spans="1:25" s="35" customFormat="1" ht="28.8" customHeight="1" x14ac:dyDescent="0.3">
      <c r="A41" s="27" t="s">
        <v>208</v>
      </c>
      <c r="B41" s="33" t="s">
        <v>9</v>
      </c>
      <c r="C41" s="33"/>
      <c r="D41" s="33" t="s">
        <v>53</v>
      </c>
      <c r="E41" s="39" t="s">
        <v>198</v>
      </c>
      <c r="F41" s="34"/>
      <c r="G41" s="37"/>
      <c r="H41" s="37"/>
      <c r="I41" s="35" t="str">
        <f t="shared" si="2"/>
        <v>Defs</v>
      </c>
      <c r="J41" s="38" t="str">
        <f>IF(Table2[[#This Row],[!Type]]=J$1, J$1,"rg:None")</f>
        <v>rg:None</v>
      </c>
      <c r="K41" s="38" t="str">
        <f>IF(Table2[[#This Row],[!Type]]=K$1, K$1,"rg:None")</f>
        <v>rg:None</v>
      </c>
      <c r="L41" s="38" t="str">
        <f>IF(Table2[[#This Row],[!Type]]=L$1, L$1,"rg:None")</f>
        <v>datetime</v>
      </c>
      <c r="M41" s="38" t="str">
        <f>IF(Table2[[#This Row],[!Type]]=M$1, M$1,"rg:None")</f>
        <v>rg:None</v>
      </c>
      <c r="N41" s="38" t="str">
        <f>IF(Table2[[#This Row],[!Type]]=N$1, N$1,"rg:None")</f>
        <v>rg:None</v>
      </c>
      <c r="O41" s="38" t="str">
        <f>IF(Table2[[#This Row],[!Type]]=O$1, O$1,"rg:None")</f>
        <v>rg:None</v>
      </c>
      <c r="P41" s="35" t="str">
        <f>IF(Table2[[#This Row],[!Type]]=P$1, P$1,"rg:None")</f>
        <v>rg:None</v>
      </c>
      <c r="Q41" s="35" t="str">
        <f>IF(Table2[[#This Row],[!Type]]=Q$1, Q$1,"rg:None")</f>
        <v>rg:None</v>
      </c>
      <c r="R41" s="35" t="str">
        <f>IF(Table2[[#This Row],[!Type]]=R$1, R$1,"rg:None")</f>
        <v>rg:None</v>
      </c>
      <c r="S41" s="35" t="str">
        <f>IF(Table2[[#This Row],[!Type]]=S$1, S$1,"rg:None")</f>
        <v>rg:None</v>
      </c>
      <c r="T41" s="38" t="str">
        <f>IF(LEN(Table2[[#This Row],[!Length]]) &gt; 0, Table2[[#This Row],[!Length]], "rg:None")</f>
        <v>rg:None</v>
      </c>
      <c r="U41" s="38" t="str">
        <f>IF(LEN(Table2[[#This Row],[!Name]]) &gt; 0, Table2[[#This Row],[!Name]], "rg:None")</f>
        <v>endDate</v>
      </c>
      <c r="V41" s="38" t="str">
        <f>IF(LEN(Table2[[#This Row],[!Description]]) &gt; 0, Table2[[#This Row],[!Description]], "rg:None")</f>
        <v>The date after which the Verifiable Organization Location type will no longer be used.</v>
      </c>
      <c r="W41" s="38" t="str">
        <f>IF(LEN(Table2[[#This Row],[!FK]])&gt;0,Table2[[#This Row],[!FK]],"rg:None")</f>
        <v>rg:None</v>
      </c>
      <c r="X41" s="38" t="str">
        <f>IF(LEN(concatif2(A:A,Table2[[#This Row],[!Table]],G:G,"Y",D:D,",")) &gt; 0,"rg:[ { 'req' : '"&amp;concatif2(A:A,Table2[[#This Row],[!Table]],G:G,"Y",D:D,"' }, { 'req': '")&amp;"'} ]","rg:[]")</f>
        <v>rg:[ { 'req' : 'id' }, { 'req': 'locType' }, { 'req': 'description' }, { 'req': 'effectiveDate'} ]</v>
      </c>
      <c r="Y41" s="38" t="str">
        <f>IF(LEN(Table2[[#This Row],[!Unique]])&gt;0,IF(Table2[[#This Row],[!Type]] = "id", "rg:None","rg:True"),"rg:None")</f>
        <v>rg:None</v>
      </c>
    </row>
    <row r="42" spans="1:25" s="35" customFormat="1" ht="43.2" customHeight="1" x14ac:dyDescent="0.3">
      <c r="A42" s="27" t="s">
        <v>208</v>
      </c>
      <c r="B42" s="33" t="s">
        <v>10</v>
      </c>
      <c r="C42" s="33"/>
      <c r="D42" s="33" t="s">
        <v>54</v>
      </c>
      <c r="E42" s="39" t="s">
        <v>199</v>
      </c>
      <c r="F42" s="34"/>
      <c r="G42" s="37"/>
      <c r="H42" s="37"/>
      <c r="I42" s="35" t="str">
        <f>IF(LEN(A42) &gt; 0,"Defs","-")</f>
        <v>Defs</v>
      </c>
      <c r="J42" s="38" t="str">
        <f>IF(Table2[[#This Row],[!Type]]=J$1, J$1,"rg:None")</f>
        <v>rg:None</v>
      </c>
      <c r="K42" s="38" t="str">
        <f>IF(Table2[[#This Row],[!Type]]=K$1, K$1,"rg:None")</f>
        <v>rg:None</v>
      </c>
      <c r="L42" s="38" t="str">
        <f>IF(Table2[[#This Row],[!Type]]=L$1, L$1,"rg:None")</f>
        <v>rg:None</v>
      </c>
      <c r="M42" s="38" t="str">
        <f>IF(Table2[[#This Row],[!Type]]=M$1, M$1,"rg:None")</f>
        <v>rg:None</v>
      </c>
      <c r="N42" s="38" t="str">
        <f>IF(Table2[[#This Row],[!Type]]=N$1, N$1,"rg:None")</f>
        <v>integer</v>
      </c>
      <c r="O42" s="38" t="str">
        <f>IF(Table2[[#This Row],[!Type]]=O$1, O$1,"rg:None")</f>
        <v>rg:None</v>
      </c>
      <c r="P42" s="35" t="str">
        <f>IF(Table2[[#This Row],[!Type]]=P$1, P$1,"rg:None")</f>
        <v>rg:None</v>
      </c>
      <c r="Q42" s="35" t="str">
        <f>IF(Table2[[#This Row],[!Type]]=Q$1, Q$1,"rg:None")</f>
        <v>rg:None</v>
      </c>
      <c r="R42" s="35" t="str">
        <f>IF(Table2[[#This Row],[!Type]]=R$1, R$1,"rg:None")</f>
        <v>rg:None</v>
      </c>
      <c r="S42" s="35" t="str">
        <f>IF(Table2[[#This Row],[!Type]]=S$1, S$1,"rg:None")</f>
        <v>rg:None</v>
      </c>
      <c r="T42" s="38" t="str">
        <f>IF(LEN(Table2[[#This Row],[!Length]]) &gt; 0, Table2[[#This Row],[!Length]], "rg:None")</f>
        <v>rg:None</v>
      </c>
      <c r="U42" s="38" t="str">
        <f>IF(LEN(Table2[[#This Row],[!Name]]) &gt; 0, Table2[[#This Row],[!Name]], "rg:None")</f>
        <v>displayOrder</v>
      </c>
      <c r="V42" s="38" t="str">
        <f>IF(LEN(Table2[[#This Row],[!Description]]) &gt; 0, Table2[[#This Row],[!Description]], "rg:None")</f>
        <v>The order of display of the Verifiable Organization Location type. In general, the order will be listed in the order of expected frequency.</v>
      </c>
      <c r="W42" s="38" t="str">
        <f>IF(LEN(Table2[[#This Row],[!FK]])&gt;0,Table2[[#This Row],[!FK]],"rg:None")</f>
        <v>rg:None</v>
      </c>
      <c r="X42" s="38" t="str">
        <f>IF(LEN(concatif2(A:A,Table2[[#This Row],[!Table]],G:G,"Y",D:D,",")) &gt; 0,"rg:[ { 'req' : '"&amp;concatif2(A:A,Table2[[#This Row],[!Table]],G:G,"Y",D:D,"' }, { 'req': '")&amp;"'} ]","rg:[]")</f>
        <v>rg:[ { 'req' : 'id' }, { 'req': 'locType' }, { 'req': 'description' }, { 'req': 'effectiveDate'} ]</v>
      </c>
      <c r="Y42" s="38" t="str">
        <f>IF(LEN(Table2[[#This Row],[!Unique]])&gt;0,IF(Table2[[#This Row],[!Type]] = "id", "rg:None","rg:True"),"rg:None")</f>
        <v>rg:None</v>
      </c>
    </row>
    <row r="43" spans="1:25" s="35" customFormat="1" ht="28.8" customHeight="1" x14ac:dyDescent="0.3">
      <c r="A43" s="27" t="s">
        <v>209</v>
      </c>
      <c r="B43" s="33" t="s">
        <v>3</v>
      </c>
      <c r="C43" s="33"/>
      <c r="D43" s="27" t="s">
        <v>209</v>
      </c>
      <c r="E43" s="39" t="s">
        <v>200</v>
      </c>
      <c r="F43" s="34"/>
      <c r="G43" s="37"/>
      <c r="H43" s="37"/>
      <c r="I43" s="35" t="str">
        <f t="shared" ref="I43:I50" si="5">IF(LEN(A43) &gt; 0,"Defs","-")</f>
        <v>Defs</v>
      </c>
      <c r="J43" s="38" t="str">
        <f>IF(Table2[[#This Row],[!Type]]=J$1, J$1,"rg:None")</f>
        <v>rg:None</v>
      </c>
      <c r="K43" s="38" t="str">
        <f>IF(Table2[[#This Row],[!Type]]=K$1, K$1,"rg:None")</f>
        <v>rg:None</v>
      </c>
      <c r="L43" s="38" t="str">
        <f>IF(Table2[[#This Row],[!Type]]=L$1, L$1,"rg:None")</f>
        <v>rg:None</v>
      </c>
      <c r="M43" s="38" t="str">
        <f>IF(Table2[[#This Row],[!Type]]=M$1, M$1,"rg:None")</f>
        <v>rg:None</v>
      </c>
      <c r="N43" s="38" t="str">
        <f>IF(Table2[[#This Row],[!Type]]=N$1, N$1,"rg:None")</f>
        <v>rg:None</v>
      </c>
      <c r="O43" s="38" t="str">
        <f>IF(Table2[[#This Row],[!Type]]=O$1, O$1,"rg:None")</f>
        <v>rg:None</v>
      </c>
      <c r="P43" s="35" t="str">
        <f>IF(Table2[[#This Row],[!Type]]=P$1, P$1,"rg:None")</f>
        <v>rg:None</v>
      </c>
      <c r="Q43" s="35" t="str">
        <f>IF(Table2[[#This Row],[!Type]]=Q$1, Q$1,"rg:None")</f>
        <v>rg:None</v>
      </c>
      <c r="R43" s="35" t="str">
        <f>IF(Table2[[#This Row],[!Type]]=R$1, R$1,"rg:None")</f>
        <v>rg:None</v>
      </c>
      <c r="S43" s="35" t="str">
        <f>IF(Table2[[#This Row],[!Type]]=S$1, S$1,"rg:None")</f>
        <v>table</v>
      </c>
      <c r="T43" s="38" t="str">
        <f>IF(LEN(Table2[[#This Row],[!Length]]) &gt; 0, Table2[[#This Row],[!Length]], "rg:None")</f>
        <v>rg:None</v>
      </c>
      <c r="U43" s="38" t="str">
        <f>IF(LEN(Table2[[#This Row],[!Name]]) &gt; 0, Table2[[#This Row],[!Name]], "rg:None")</f>
        <v>DoingBusinessAs</v>
      </c>
      <c r="V43" s="38" t="str">
        <f>IF(LEN(Table2[[#This Row],[!Description]]) &gt; 0, Table2[[#This Row],[!Description]], "rg:None")</f>
        <v>Names under which a Verifiable Organization is Doing Business.</v>
      </c>
      <c r="W43" s="38" t="str">
        <f>IF(LEN(Table2[[#This Row],[!FK]])&gt;0,Table2[[#This Row],[!FK]],"rg:None")</f>
        <v>rg:None</v>
      </c>
      <c r="X43" s="38" t="str">
        <f>IF(LEN(concatif2(A:A,Table2[[#This Row],[!Table]],G:G,"Y",D:D,",")) &gt; 0,"rg:[ { 'req' : '"&amp;concatif2(A:A,Table2[[#This Row],[!Table]],G:G,"Y",D:D,"' }, { 'req': '")&amp;"'} ]","rg:[]")</f>
        <v>rg:[ { 'req' : 'id' }, { 'req': 'dbaName' }, { 'req': 'effectiveDate'} ]</v>
      </c>
      <c r="Y43" s="38" t="str">
        <f>IF(LEN(Table2[[#This Row],[!Unique]])&gt;0,IF(Table2[[#This Row],[!Type]] = "id", "rg:None","rg:True"),"rg:None")</f>
        <v>rg:None</v>
      </c>
    </row>
    <row r="44" spans="1:25" s="35" customFormat="1" ht="28.8" customHeight="1" x14ac:dyDescent="0.3">
      <c r="A44" s="27" t="s">
        <v>209</v>
      </c>
      <c r="B44" s="33" t="s">
        <v>5</v>
      </c>
      <c r="C44" s="33"/>
      <c r="D44" s="33" t="s">
        <v>5</v>
      </c>
      <c r="E44" s="39" t="s">
        <v>194</v>
      </c>
      <c r="F44" s="34"/>
      <c r="G44" s="37" t="s">
        <v>14</v>
      </c>
      <c r="H44" s="37" t="s">
        <v>14</v>
      </c>
      <c r="I44" s="35" t="str">
        <f t="shared" si="5"/>
        <v>Defs</v>
      </c>
      <c r="J44" s="38" t="str">
        <f>IF(Table2[[#This Row],[!Type]]=J$1, J$1,"rg:None")</f>
        <v>rg:None</v>
      </c>
      <c r="K44" s="38" t="str">
        <f>IF(Table2[[#This Row],[!Type]]=K$1, K$1,"rg:None")</f>
        <v>rg:None</v>
      </c>
      <c r="L44" s="38" t="str">
        <f>IF(Table2[[#This Row],[!Type]]=L$1, L$1,"rg:None")</f>
        <v>rg:None</v>
      </c>
      <c r="M44" s="38" t="str">
        <f>IF(Table2[[#This Row],[!Type]]=M$1, M$1,"rg:None")</f>
        <v>id</v>
      </c>
      <c r="N44" s="38" t="str">
        <f>IF(Table2[[#This Row],[!Type]]=N$1, N$1,"rg:None")</f>
        <v>rg:None</v>
      </c>
      <c r="O44" s="38" t="str">
        <f>IF(Table2[[#This Row],[!Type]]=O$1, O$1,"rg:None")</f>
        <v>rg:None</v>
      </c>
      <c r="P44" s="35" t="str">
        <f>IF(Table2[[#This Row],[!Type]]=P$1, P$1,"rg:None")</f>
        <v>rg:None</v>
      </c>
      <c r="Q44" s="35" t="str">
        <f>IF(Table2[[#This Row],[!Type]]=Q$1, Q$1,"rg:None")</f>
        <v>rg:None</v>
      </c>
      <c r="R44" s="35" t="str">
        <f>IF(Table2[[#This Row],[!Type]]=R$1, R$1,"rg:None")</f>
        <v>rg:None</v>
      </c>
      <c r="S44" s="35" t="str">
        <f>IF(Table2[[#This Row],[!Type]]=S$1, S$1,"rg:None")</f>
        <v>rg:None</v>
      </c>
      <c r="T44" s="38" t="str">
        <f>IF(LEN(Table2[[#This Row],[!Length]]) &gt; 0, Table2[[#This Row],[!Length]], "rg:None")</f>
        <v>rg:None</v>
      </c>
      <c r="U44" s="38" t="str">
        <f>IF(LEN(Table2[[#This Row],[!Name]]) &gt; 0, Table2[[#This Row],[!Name]], "rg:None")</f>
        <v>id</v>
      </c>
      <c r="V44" s="38" t="str">
        <f>IF(LEN(Table2[[#This Row],[!Description]]) &gt; 0, Table2[[#This Row],[!Description]], "rg:None")</f>
        <v>A system-generated unique identifier for a Verifiable Organization Location Type.</v>
      </c>
      <c r="W44" s="38" t="str">
        <f>IF(LEN(Table2[[#This Row],[!FK]])&gt;0,Table2[[#This Row],[!FK]],"rg:None")</f>
        <v>rg:None</v>
      </c>
      <c r="X44" s="38" t="str">
        <f>IF(LEN(concatif2(A:A,Table2[[#This Row],[!Table]],G:G,"Y",D:D,",")) &gt; 0,"rg:[ { 'req' : '"&amp;concatif2(A:A,Table2[[#This Row],[!Table]],G:G,"Y",D:D,"' }, { 'req': '")&amp;"'} ]","rg:[]")</f>
        <v>rg:[ { 'req' : 'id' }, { 'req': 'dbaName' }, { 'req': 'effectiveDate'} ]</v>
      </c>
      <c r="Y44" s="38" t="str">
        <f>IF(LEN(Table2[[#This Row],[!Unique]])&gt;0,IF(Table2[[#This Row],[!Type]] = "id", "rg:None","rg:True"),"rg:None")</f>
        <v>rg:None</v>
      </c>
    </row>
    <row r="45" spans="1:25" s="35" customFormat="1" ht="28.8" customHeight="1" x14ac:dyDescent="0.3">
      <c r="A45" s="27" t="s">
        <v>209</v>
      </c>
      <c r="B45" s="35" t="s">
        <v>7</v>
      </c>
      <c r="C45" s="33"/>
      <c r="D45" s="42" t="s">
        <v>226</v>
      </c>
      <c r="E45" s="39" t="s">
        <v>79</v>
      </c>
      <c r="F45" s="33" t="s">
        <v>176</v>
      </c>
      <c r="G45" s="37"/>
      <c r="H45" s="37"/>
      <c r="I45" s="35" t="str">
        <f>IF(LEN(A45) &gt; 0,"Defs","-")</f>
        <v>Defs</v>
      </c>
      <c r="J45" s="38" t="str">
        <f>IF(Table2[[#This Row],[!Type]]=J$1, J$1,"rg:None")</f>
        <v>rg:None</v>
      </c>
      <c r="K45" s="38" t="str">
        <f>IF(Table2[[#This Row],[!Type]]=K$1, K$1,"rg:None")</f>
        <v>rg:None</v>
      </c>
      <c r="L45" s="38" t="str">
        <f>IF(Table2[[#This Row],[!Type]]=L$1, L$1,"rg:None")</f>
        <v>rg:None</v>
      </c>
      <c r="M45" s="38" t="str">
        <f>IF(Table2[[#This Row],[!Type]]=M$1, M$1,"rg:None")</f>
        <v>rg:None</v>
      </c>
      <c r="N45" s="38" t="str">
        <f>IF(Table2[[#This Row],[!Type]]=N$1, N$1,"rg:None")</f>
        <v>rg:None</v>
      </c>
      <c r="O45" s="38" t="str">
        <f>IF(Table2[[#This Row],[!Type]]=O$1, O$1,"rg:None")</f>
        <v>rg:None</v>
      </c>
      <c r="P45" s="35" t="str">
        <f>IF(Table2[[#This Row],[!Type]]=P$1, P$1,"rg:None")</f>
        <v>rg:None</v>
      </c>
      <c r="Q45" s="35" t="str">
        <f>IF(Table2[[#This Row],[!Type]]=Q$1, Q$1,"rg:None")</f>
        <v>ref</v>
      </c>
      <c r="R45" s="35" t="str">
        <f>IF(Table2[[#This Row],[!Type]]=R$1, R$1,"rg:None")</f>
        <v>rg:None</v>
      </c>
      <c r="S45" s="35" t="str">
        <f>IF(Table2[[#This Row],[!Type]]=S$1, S$1,"rg:None")</f>
        <v>rg:None</v>
      </c>
      <c r="T45" s="38" t="str">
        <f>IF(LEN(Table2[[#This Row],[!Length]]) &gt; 0, Table2[[#This Row],[!Length]], "rg:None")</f>
        <v>rg:None</v>
      </c>
      <c r="U45" s="38" t="str">
        <f>IF(LEN(Table2[[#This Row],[!Name]]) &gt; 0, Table2[[#This Row],[!Name]], "rg:None")</f>
        <v>verifiableOrgId</v>
      </c>
      <c r="V45" s="38" t="str">
        <f>IF(LEN(Table2[[#This Row],[!Description]]) &gt; 0, Table2[[#This Row],[!Description]], "rg:None")</f>
        <v>A foreign key reference into the VerfiedOrg table.</v>
      </c>
      <c r="W45" s="38" t="str">
        <f>IF(LEN(Table2[[#This Row],[!FK]])&gt;0,Table2[[#This Row],[!FK]],"rg:None")</f>
        <v>VerifiableOrg</v>
      </c>
      <c r="X45" s="38" t="str">
        <f>IF(LEN(concatif2(A:A,Table2[[#This Row],[!Table]],G:G,"Y",D:D,",")) &gt; 0,"rg:[ { 'req' : '"&amp;concatif2(A:A,Table2[[#This Row],[!Table]],G:G,"Y",D:D,"' }, { 'req': '")&amp;"'} ]","rg:[]")</f>
        <v>rg:[ { 'req' : 'id' }, { 'req': 'dbaName' }, { 'req': 'effectiveDate'} ]</v>
      </c>
      <c r="Y45" s="38" t="str">
        <f>IF(LEN(Table2[[#This Row],[!Unique]])&gt;0,IF(Table2[[#This Row],[!Type]] = "id", "rg:None","rg:True"),"rg:None")</f>
        <v>rg:None</v>
      </c>
    </row>
    <row r="46" spans="1:25" s="35" customFormat="1" ht="28.8" customHeight="1" x14ac:dyDescent="0.3">
      <c r="A46" s="27" t="s">
        <v>209</v>
      </c>
      <c r="B46" s="33" t="s">
        <v>6</v>
      </c>
      <c r="C46" s="33"/>
      <c r="D46" s="27" t="s">
        <v>212</v>
      </c>
      <c r="E46" s="39" t="s">
        <v>72</v>
      </c>
      <c r="F46" s="34"/>
      <c r="G46" s="37" t="s">
        <v>14</v>
      </c>
      <c r="H46" s="37"/>
      <c r="I46" s="35" t="str">
        <f t="shared" si="5"/>
        <v>Defs</v>
      </c>
      <c r="J46" s="38" t="str">
        <f>IF(Table2[[#This Row],[!Type]]=J$1, J$1,"rg:None")</f>
        <v>rg:None</v>
      </c>
      <c r="K46" s="38" t="str">
        <f>IF(Table2[[#This Row],[!Type]]=K$1, K$1,"rg:None")</f>
        <v>rg:None</v>
      </c>
      <c r="L46" s="38" t="str">
        <f>IF(Table2[[#This Row],[!Type]]=L$1, L$1,"rg:None")</f>
        <v>rg:None</v>
      </c>
      <c r="M46" s="38" t="str">
        <f>IF(Table2[[#This Row],[!Type]]=M$1, M$1,"rg:None")</f>
        <v>rg:None</v>
      </c>
      <c r="N46" s="38" t="str">
        <f>IF(Table2[[#This Row],[!Type]]=N$1, N$1,"rg:None")</f>
        <v>rg:None</v>
      </c>
      <c r="O46" s="38" t="str">
        <f>IF(Table2[[#This Row],[!Type]]=O$1, O$1,"rg:None")</f>
        <v>rg:None</v>
      </c>
      <c r="P46" s="35" t="str">
        <f>IF(Table2[[#This Row],[!Type]]=P$1, P$1,"rg:None")</f>
        <v>rg:None</v>
      </c>
      <c r="Q46" s="35" t="str">
        <f>IF(Table2[[#This Row],[!Type]]=Q$1, Q$1,"rg:None")</f>
        <v>rg:None</v>
      </c>
      <c r="R46" s="35" t="str">
        <f>IF(Table2[[#This Row],[!Type]]=R$1, R$1,"rg:None")</f>
        <v>string</v>
      </c>
      <c r="S46" s="35" t="str">
        <f>IF(Table2[[#This Row],[!Type]]=S$1, S$1,"rg:None")</f>
        <v>rg:None</v>
      </c>
      <c r="T46" s="38" t="str">
        <f>IF(LEN(Table2[[#This Row],[!Length]]) &gt; 0, Table2[[#This Row],[!Length]], "rg:None")</f>
        <v>rg:None</v>
      </c>
      <c r="U46" s="38" t="str">
        <f>IF(LEN(Table2[[#This Row],[!Name]]) &gt; 0, Table2[[#This Row],[!Name]], "rg:None")</f>
        <v>dbaName</v>
      </c>
      <c r="V46" s="38" t="str">
        <f>IF(LEN(Table2[[#This Row],[!Description]]) &gt; 0, Table2[[#This Row],[!Description]], "rg:None")</f>
        <v>The doing business as name of the business.</v>
      </c>
      <c r="W46" s="38" t="str">
        <f>IF(LEN(Table2[[#This Row],[!FK]])&gt;0,Table2[[#This Row],[!FK]],"rg:None")</f>
        <v>rg:None</v>
      </c>
      <c r="X46" s="38" t="str">
        <f>IF(LEN(concatif2(A:A,Table2[[#This Row],[!Table]],G:G,"Y",D:D,",")) &gt; 0,"rg:[ { 'req' : '"&amp;concatif2(A:A,Table2[[#This Row],[!Table]],G:G,"Y",D:D,"' }, { 'req': '")&amp;"'} ]","rg:[]")</f>
        <v>rg:[ { 'req' : 'id' }, { 'req': 'dbaName' }, { 'req': 'effectiveDate'} ]</v>
      </c>
      <c r="Y46" s="38" t="str">
        <f>IF(LEN(Table2[[#This Row],[!Unique]])&gt;0,IF(Table2[[#This Row],[!Type]] = "id", "rg:None","rg:True"),"rg:None")</f>
        <v>rg:None</v>
      </c>
    </row>
    <row r="47" spans="1:25" s="35" customFormat="1" ht="28.8" customHeight="1" x14ac:dyDescent="0.3">
      <c r="A47" s="27" t="s">
        <v>209</v>
      </c>
      <c r="B47" s="33" t="s">
        <v>9</v>
      </c>
      <c r="C47" s="33"/>
      <c r="D47" s="33" t="s">
        <v>52</v>
      </c>
      <c r="E47" s="39" t="s">
        <v>201</v>
      </c>
      <c r="F47" s="34"/>
      <c r="G47" s="37" t="s">
        <v>14</v>
      </c>
      <c r="H47" s="37"/>
      <c r="I47" s="35" t="str">
        <f t="shared" si="5"/>
        <v>Defs</v>
      </c>
      <c r="J47" s="38" t="str">
        <f>IF(Table2[[#This Row],[!Type]]=J$1, J$1,"rg:None")</f>
        <v>rg:None</v>
      </c>
      <c r="K47" s="38" t="str">
        <f>IF(Table2[[#This Row],[!Type]]=K$1, K$1,"rg:None")</f>
        <v>rg:None</v>
      </c>
      <c r="L47" s="38" t="str">
        <f>IF(Table2[[#This Row],[!Type]]=L$1, L$1,"rg:None")</f>
        <v>datetime</v>
      </c>
      <c r="M47" s="38" t="str">
        <f>IF(Table2[[#This Row],[!Type]]=M$1, M$1,"rg:None")</f>
        <v>rg:None</v>
      </c>
      <c r="N47" s="38" t="str">
        <f>IF(Table2[[#This Row],[!Type]]=N$1, N$1,"rg:None")</f>
        <v>rg:None</v>
      </c>
      <c r="O47" s="38" t="str">
        <f>IF(Table2[[#This Row],[!Type]]=O$1, O$1,"rg:None")</f>
        <v>rg:None</v>
      </c>
      <c r="P47" s="35" t="str">
        <f>IF(Table2[[#This Row],[!Type]]=P$1, P$1,"rg:None")</f>
        <v>rg:None</v>
      </c>
      <c r="Q47" s="35" t="str">
        <f>IF(Table2[[#This Row],[!Type]]=Q$1, Q$1,"rg:None")</f>
        <v>rg:None</v>
      </c>
      <c r="R47" s="35" t="str">
        <f>IF(Table2[[#This Row],[!Type]]=R$1, R$1,"rg:None")</f>
        <v>rg:None</v>
      </c>
      <c r="S47" s="35" t="str">
        <f>IF(Table2[[#This Row],[!Type]]=S$1, S$1,"rg:None")</f>
        <v>rg:None</v>
      </c>
      <c r="T47" s="38" t="str">
        <f>IF(LEN(Table2[[#This Row],[!Length]]) &gt; 0, Table2[[#This Row],[!Length]], "rg:None")</f>
        <v>rg:None</v>
      </c>
      <c r="U47" s="38" t="str">
        <f>IF(LEN(Table2[[#This Row],[!Name]]) &gt; 0, Table2[[#This Row],[!Name]], "rg:None")</f>
        <v>effectiveDate</v>
      </c>
      <c r="V47" s="38" t="str">
        <f>IF(LEN(Table2[[#This Row],[!Description]]) &gt; 0, Table2[[#This Row],[!Description]], "rg:None")</f>
        <v>The date upon which the Verifiable Organization DBA record was activated for use.</v>
      </c>
      <c r="W47" s="38" t="str">
        <f>IF(LEN(Table2[[#This Row],[!FK]])&gt;0,Table2[[#This Row],[!FK]],"rg:None")</f>
        <v>rg:None</v>
      </c>
      <c r="X47" s="38" t="str">
        <f>IF(LEN(concatif2(A:A,Table2[[#This Row],[!Table]],G:G,"Y",D:D,",")) &gt; 0,"rg:[ { 'req' : '"&amp;concatif2(A:A,Table2[[#This Row],[!Table]],G:G,"Y",D:D,"' }, { 'req': '")&amp;"'} ]","rg:[]")</f>
        <v>rg:[ { 'req' : 'id' }, { 'req': 'dbaName' }, { 'req': 'effectiveDate'} ]</v>
      </c>
      <c r="Y47" s="38" t="str">
        <f>IF(LEN(Table2[[#This Row],[!Unique]])&gt;0,IF(Table2[[#This Row],[!Type]] = "id", "rg:None","rg:True"),"rg:None")</f>
        <v>rg:None</v>
      </c>
    </row>
    <row r="48" spans="1:25" s="35" customFormat="1" ht="28.8" customHeight="1" x14ac:dyDescent="0.3">
      <c r="A48" s="27" t="s">
        <v>209</v>
      </c>
      <c r="B48" s="33" t="s">
        <v>9</v>
      </c>
      <c r="C48" s="33"/>
      <c r="D48" s="33" t="s">
        <v>53</v>
      </c>
      <c r="E48" s="39" t="s">
        <v>202</v>
      </c>
      <c r="F48" s="34"/>
      <c r="G48" s="37"/>
      <c r="H48" s="37"/>
      <c r="I48" s="35" t="str">
        <f>IF(LEN(A48) &gt; 0,"Defs","-")</f>
        <v>Defs</v>
      </c>
      <c r="J48" s="38" t="str">
        <f>IF(Table2[[#This Row],[!Type]]=J$1, J$1,"rg:None")</f>
        <v>rg:None</v>
      </c>
      <c r="K48" s="38" t="str">
        <f>IF(Table2[[#This Row],[!Type]]=K$1, K$1,"rg:None")</f>
        <v>rg:None</v>
      </c>
      <c r="L48" s="38" t="str">
        <f>IF(Table2[[#This Row],[!Type]]=L$1, L$1,"rg:None")</f>
        <v>datetime</v>
      </c>
      <c r="M48" s="38" t="str">
        <f>IF(Table2[[#This Row],[!Type]]=M$1, M$1,"rg:None")</f>
        <v>rg:None</v>
      </c>
      <c r="N48" s="38" t="str">
        <f>IF(Table2[[#This Row],[!Type]]=N$1, N$1,"rg:None")</f>
        <v>rg:None</v>
      </c>
      <c r="O48" s="38" t="str">
        <f>IF(Table2[[#This Row],[!Type]]=O$1, O$1,"rg:None")</f>
        <v>rg:None</v>
      </c>
      <c r="P48" s="35" t="str">
        <f>IF(Table2[[#This Row],[!Type]]=P$1, P$1,"rg:None")</f>
        <v>rg:None</v>
      </c>
      <c r="Q48" s="35" t="str">
        <f>IF(Table2[[#This Row],[!Type]]=Q$1, Q$1,"rg:None")</f>
        <v>rg:None</v>
      </c>
      <c r="R48" s="35" t="str">
        <f>IF(Table2[[#This Row],[!Type]]=R$1, R$1,"rg:None")</f>
        <v>rg:None</v>
      </c>
      <c r="S48" s="35" t="str">
        <f>IF(Table2[[#This Row],[!Type]]=S$1, S$1,"rg:None")</f>
        <v>rg:None</v>
      </c>
      <c r="T48" s="38" t="str">
        <f>IF(LEN(Table2[[#This Row],[!Length]]) &gt; 0, Table2[[#This Row],[!Length]], "rg:None")</f>
        <v>rg:None</v>
      </c>
      <c r="U48" s="38" t="str">
        <f>IF(LEN(Table2[[#This Row],[!Name]]) &gt; 0, Table2[[#This Row],[!Name]], "rg:None")</f>
        <v>endDate</v>
      </c>
      <c r="V48" s="38" t="str">
        <f>IF(LEN(Table2[[#This Row],[!Description]]) &gt; 0, Table2[[#This Row],[!Description]], "rg:None")</f>
        <v>The date after which the Verifiable Organization DBA record will no longer be used.</v>
      </c>
      <c r="W48" s="38" t="str">
        <f>IF(LEN(Table2[[#This Row],[!FK]])&gt;0,Table2[[#This Row],[!FK]],"rg:None")</f>
        <v>rg:None</v>
      </c>
      <c r="X48" s="38" t="str">
        <f>IF(LEN(concatif2(A:A,Table2[[#This Row],[!Table]],G:G,"Y",D:D,",")) &gt; 0,"rg:[ { 'req' : '"&amp;concatif2(A:A,Table2[[#This Row],[!Table]],G:G,"Y",D:D,"' }, { 'req': '")&amp;"'} ]","rg:[]")</f>
        <v>rg:[ { 'req' : 'id' }, { 'req': 'dbaName' }, { 'req': 'effectiveDate'} ]</v>
      </c>
      <c r="Y48" s="38" t="str">
        <f>IF(LEN(Table2[[#This Row],[!Unique]])&gt;0,IF(Table2[[#This Row],[!Type]] = "id", "rg:None","rg:True"),"rg:None")</f>
        <v>rg:None</v>
      </c>
    </row>
    <row r="49" spans="1:25" s="35" customFormat="1" ht="28.8" customHeight="1" x14ac:dyDescent="0.3">
      <c r="A49" s="27" t="s">
        <v>210</v>
      </c>
      <c r="B49" s="33" t="s">
        <v>3</v>
      </c>
      <c r="C49" s="33"/>
      <c r="D49" s="27" t="s">
        <v>210</v>
      </c>
      <c r="E49" s="39" t="s">
        <v>78</v>
      </c>
      <c r="F49" s="34"/>
      <c r="G49" s="37"/>
      <c r="H49" s="37"/>
      <c r="I49" s="35" t="str">
        <f>IF(LEN(A49) &gt; 0,"Defs","-")</f>
        <v>Defs</v>
      </c>
      <c r="J49" s="38" t="str">
        <f>IF(Table2[[#This Row],[!Type]]=J$1, J$1,"rg:None")</f>
        <v>rg:None</v>
      </c>
      <c r="K49" s="38" t="str">
        <f>IF(Table2[[#This Row],[!Type]]=K$1, K$1,"rg:None")</f>
        <v>rg:None</v>
      </c>
      <c r="L49" s="38" t="str">
        <f>IF(Table2[[#This Row],[!Type]]=L$1, L$1,"rg:None")</f>
        <v>rg:None</v>
      </c>
      <c r="M49" s="38" t="str">
        <f>IF(Table2[[#This Row],[!Type]]=M$1, M$1,"rg:None")</f>
        <v>rg:None</v>
      </c>
      <c r="N49" s="38" t="str">
        <f>IF(Table2[[#This Row],[!Type]]=N$1, N$1,"rg:None")</f>
        <v>rg:None</v>
      </c>
      <c r="O49" s="38" t="str">
        <f>IF(Table2[[#This Row],[!Type]]=O$1, O$1,"rg:None")</f>
        <v>rg:None</v>
      </c>
      <c r="P49" s="35" t="str">
        <f>IF(Table2[[#This Row],[!Type]]=P$1, P$1,"rg:None")</f>
        <v>rg:None</v>
      </c>
      <c r="Q49" s="35" t="str">
        <f>IF(Table2[[#This Row],[!Type]]=Q$1, Q$1,"rg:None")</f>
        <v>rg:None</v>
      </c>
      <c r="R49" s="35" t="str">
        <f>IF(Table2[[#This Row],[!Type]]=R$1, R$1,"rg:None")</f>
        <v>rg:None</v>
      </c>
      <c r="S49" s="35" t="str">
        <f>IF(Table2[[#This Row],[!Type]]=S$1, S$1,"rg:None")</f>
        <v>table</v>
      </c>
      <c r="T49" s="38" t="str">
        <f>IF(LEN(Table2[[#This Row],[!Length]]) &gt; 0, Table2[[#This Row],[!Length]], "rg:None")</f>
        <v>rg:None</v>
      </c>
      <c r="U49" s="38" t="str">
        <f>IF(LEN(Table2[[#This Row],[!Name]]) &gt; 0, Table2[[#This Row],[!Name]], "rg:None")</f>
        <v>VerifiableClaim</v>
      </c>
      <c r="V49" s="38" t="str">
        <f>IF(LEN(Table2[[#This Row],[!Description]]) &gt; 0, Table2[[#This Row],[!Description]], "rg:None")</f>
        <v>A claim of a given type, issued by a known entite</v>
      </c>
      <c r="W49" s="38" t="str">
        <f>IF(LEN(Table2[[#This Row],[!FK]])&gt;0,Table2[[#This Row],[!FK]],"rg:None")</f>
        <v>rg:None</v>
      </c>
      <c r="X49" s="38" t="str">
        <f>IF(LEN(concatif2(A:A,Table2[[#This Row],[!Table]],G:G,"Y",D:D,",")) &gt; 0,"rg:[ { 'req' : '"&amp;concatif2(A:A,Table2[[#This Row],[!Table]],G:G,"Y",D:D,"' }, { 'req': '")&amp;"'} ]","rg:[]")</f>
        <v>rg:[ { 'req' : 'id' }, { 'req': 'verifiableOrgId' }, { 'req': 'claimType' }, { 'req': 'effectiveDate'} ]</v>
      </c>
      <c r="Y49" s="38" t="str">
        <f>IF(LEN(Table2[[#This Row],[!Unique]])&gt;0,IF(Table2[[#This Row],[!Type]] = "id", "rg:None","rg:True"),"rg:None")</f>
        <v>rg:None</v>
      </c>
    </row>
    <row r="50" spans="1:25" s="35" customFormat="1" ht="28.8" customHeight="1" x14ac:dyDescent="0.3">
      <c r="A50" s="27" t="s">
        <v>210</v>
      </c>
      <c r="B50" s="33" t="s">
        <v>5</v>
      </c>
      <c r="C50" s="33"/>
      <c r="D50" s="33" t="s">
        <v>5</v>
      </c>
      <c r="E50" s="39" t="s">
        <v>203</v>
      </c>
      <c r="F50" s="34"/>
      <c r="G50" s="37" t="s">
        <v>14</v>
      </c>
      <c r="H50" s="37" t="s">
        <v>14</v>
      </c>
      <c r="I50" s="35" t="str">
        <f t="shared" si="5"/>
        <v>Defs</v>
      </c>
      <c r="J50" s="38" t="str">
        <f>IF(Table2[[#This Row],[!Type]]=J$1, J$1,"rg:None")</f>
        <v>rg:None</v>
      </c>
      <c r="K50" s="38" t="str">
        <f>IF(Table2[[#This Row],[!Type]]=K$1, K$1,"rg:None")</f>
        <v>rg:None</v>
      </c>
      <c r="L50" s="38" t="str">
        <f>IF(Table2[[#This Row],[!Type]]=L$1, L$1,"rg:None")</f>
        <v>rg:None</v>
      </c>
      <c r="M50" s="38" t="str">
        <f>IF(Table2[[#This Row],[!Type]]=M$1, M$1,"rg:None")</f>
        <v>id</v>
      </c>
      <c r="N50" s="38" t="str">
        <f>IF(Table2[[#This Row],[!Type]]=N$1, N$1,"rg:None")</f>
        <v>rg:None</v>
      </c>
      <c r="O50" s="38" t="str">
        <f>IF(Table2[[#This Row],[!Type]]=O$1, O$1,"rg:None")</f>
        <v>rg:None</v>
      </c>
      <c r="P50" s="35" t="str">
        <f>IF(Table2[[#This Row],[!Type]]=P$1, P$1,"rg:None")</f>
        <v>rg:None</v>
      </c>
      <c r="Q50" s="35" t="str">
        <f>IF(Table2[[#This Row],[!Type]]=Q$1, Q$1,"rg:None")</f>
        <v>rg:None</v>
      </c>
      <c r="R50" s="35" t="str">
        <f>IF(Table2[[#This Row],[!Type]]=R$1, R$1,"rg:None")</f>
        <v>rg:None</v>
      </c>
      <c r="S50" s="35" t="str">
        <f>IF(Table2[[#This Row],[!Type]]=S$1, S$1,"rg:None")</f>
        <v>rg:None</v>
      </c>
      <c r="T50" s="38" t="str">
        <f>IF(LEN(Table2[[#This Row],[!Length]]) &gt; 0, Table2[[#This Row],[!Length]], "rg:None")</f>
        <v>rg:None</v>
      </c>
      <c r="U50" s="38" t="str">
        <f>IF(LEN(Table2[[#This Row],[!Name]]) &gt; 0, Table2[[#This Row],[!Name]], "rg:None")</f>
        <v>id</v>
      </c>
      <c r="V50" s="38" t="str">
        <f>IF(LEN(Table2[[#This Row],[!Description]]) &gt; 0, Table2[[#This Row],[!Description]], "rg:None")</f>
        <v>A system-generated unique identifier for a Verifiable Organization Claim.</v>
      </c>
      <c r="W50" s="38" t="str">
        <f>IF(LEN(Table2[[#This Row],[!FK]])&gt;0,Table2[[#This Row],[!FK]],"rg:None")</f>
        <v>rg:None</v>
      </c>
      <c r="X50" s="38" t="str">
        <f>IF(LEN(concatif2(A:A,Table2[[#This Row],[!Table]],G:G,"Y",D:D,",")) &gt; 0,"rg:[ { 'req' : '"&amp;concatif2(A:A,Table2[[#This Row],[!Table]],G:G,"Y",D:D,"' }, { 'req': '")&amp;"'} ]","rg:[]")</f>
        <v>rg:[ { 'req' : 'id' }, { 'req': 'verifiableOrgId' }, { 'req': 'claimType' }, { 'req': 'effectiveDate'} ]</v>
      </c>
      <c r="Y50" s="38" t="str">
        <f>IF(LEN(Table2[[#This Row],[!Unique]])&gt;0,IF(Table2[[#This Row],[!Type]] = "id", "rg:None","rg:True"),"rg:None")</f>
        <v>rg:None</v>
      </c>
    </row>
    <row r="51" spans="1:25" s="35" customFormat="1" ht="43.2" customHeight="1" x14ac:dyDescent="0.3">
      <c r="A51" s="27" t="s">
        <v>210</v>
      </c>
      <c r="B51" s="33" t="s">
        <v>7</v>
      </c>
      <c r="C51" s="33"/>
      <c r="D51" s="42" t="s">
        <v>226</v>
      </c>
      <c r="E51" s="34" t="s">
        <v>79</v>
      </c>
      <c r="F51" s="42" t="s">
        <v>176</v>
      </c>
      <c r="G51" s="37" t="s">
        <v>14</v>
      </c>
      <c r="H51" s="37"/>
      <c r="I51" s="35" t="str">
        <f>IF(LEN(A51) &gt; 0,"Defs","-")</f>
        <v>Defs</v>
      </c>
      <c r="J51" s="38" t="str">
        <f>IF(Table2[[#This Row],[!Type]]=J$1, J$1,"rg:None")</f>
        <v>rg:None</v>
      </c>
      <c r="K51" s="38" t="str">
        <f>IF(Table2[[#This Row],[!Type]]=K$1, K$1,"rg:None")</f>
        <v>rg:None</v>
      </c>
      <c r="L51" s="38" t="str">
        <f>IF(Table2[[#This Row],[!Type]]=L$1, L$1,"rg:None")</f>
        <v>rg:None</v>
      </c>
      <c r="M51" s="38" t="str">
        <f>IF(Table2[[#This Row],[!Type]]=M$1, M$1,"rg:None")</f>
        <v>rg:None</v>
      </c>
      <c r="N51" s="38" t="str">
        <f>IF(Table2[[#This Row],[!Type]]=N$1, N$1,"rg:None")</f>
        <v>rg:None</v>
      </c>
      <c r="O51" s="38" t="str">
        <f>IF(Table2[[#This Row],[!Type]]=O$1, O$1,"rg:None")</f>
        <v>rg:None</v>
      </c>
      <c r="P51" s="35" t="str">
        <f>IF(Table2[[#This Row],[!Type]]=P$1, P$1,"rg:None")</f>
        <v>rg:None</v>
      </c>
      <c r="Q51" s="35" t="str">
        <f>IF(Table2[[#This Row],[!Type]]=Q$1, Q$1,"rg:None")</f>
        <v>ref</v>
      </c>
      <c r="R51" s="35" t="str">
        <f>IF(Table2[[#This Row],[!Type]]=R$1, R$1,"rg:None")</f>
        <v>rg:None</v>
      </c>
      <c r="S51" s="35" t="str">
        <f>IF(Table2[[#This Row],[!Type]]=S$1, S$1,"rg:None")</f>
        <v>rg:None</v>
      </c>
      <c r="T51" s="38" t="str">
        <f>IF(LEN(Table2[[#This Row],[!Length]]) &gt; 0, Table2[[#This Row],[!Length]], "rg:None")</f>
        <v>rg:None</v>
      </c>
      <c r="U51" s="38" t="str">
        <f>IF(LEN(Table2[[#This Row],[!Name]]) &gt; 0, Table2[[#This Row],[!Name]], "rg:None")</f>
        <v>verifiableOrgId</v>
      </c>
      <c r="V51" s="38" t="str">
        <f>IF(LEN(Table2[[#This Row],[!Description]]) &gt; 0, Table2[[#This Row],[!Description]], "rg:None")</f>
        <v>A foreign key reference into the VerfiedOrg table.</v>
      </c>
      <c r="W51" s="38" t="str">
        <f>IF(LEN(Table2[[#This Row],[!FK]])&gt;0,Table2[[#This Row],[!FK]],"rg:None")</f>
        <v>VerifiableOrg</v>
      </c>
      <c r="X51" s="38" t="str">
        <f>IF(LEN(concatif2(A:A,Table2[[#This Row],[!Table]],G:G,"Y",D:D,",")) &gt; 0,"rg:[ { 'req' : '"&amp;concatif2(A:A,Table2[[#This Row],[!Table]],G:G,"Y",D:D,"' }, { 'req': '")&amp;"'} ]","rg:[]")</f>
        <v>rg:[ { 'req' : 'id' }, { 'req': 'verifiableOrgId' }, { 'req': 'claimType' }, { 'req': 'effectiveDate'} ]</v>
      </c>
      <c r="Y51" s="38" t="str">
        <f>IF(LEN(Table2[[#This Row],[!Unique]])&gt;0,IF(Table2[[#This Row],[!Type]] = "id", "rg:None","rg:True"),"rg:None")</f>
        <v>rg:None</v>
      </c>
    </row>
    <row r="52" spans="1:25" s="35" customFormat="1" x14ac:dyDescent="0.3">
      <c r="A52" s="27" t="s">
        <v>210</v>
      </c>
      <c r="B52" s="33" t="s">
        <v>7</v>
      </c>
      <c r="C52" s="33"/>
      <c r="D52" s="42" t="s">
        <v>232</v>
      </c>
      <c r="E52" s="34" t="s">
        <v>80</v>
      </c>
      <c r="F52" s="42" t="s">
        <v>213</v>
      </c>
      <c r="G52" s="37" t="s">
        <v>14</v>
      </c>
      <c r="H52" s="37"/>
      <c r="I52" s="35" t="str">
        <f>IF(LEN(A52) &gt; 0,"Defs","-")</f>
        <v>Defs</v>
      </c>
      <c r="J52" s="38" t="str">
        <f>IF(Table2[[#This Row],[!Type]]=J$1, J$1,"rg:None")</f>
        <v>rg:None</v>
      </c>
      <c r="K52" s="38" t="str">
        <f>IF(Table2[[#This Row],[!Type]]=K$1, K$1,"rg:None")</f>
        <v>rg:None</v>
      </c>
      <c r="L52" s="38" t="str">
        <f>IF(Table2[[#This Row],[!Type]]=L$1, L$1,"rg:None")</f>
        <v>rg:None</v>
      </c>
      <c r="M52" s="38" t="str">
        <f>IF(Table2[[#This Row],[!Type]]=M$1, M$1,"rg:None")</f>
        <v>rg:None</v>
      </c>
      <c r="N52" s="38" t="str">
        <f>IF(Table2[[#This Row],[!Type]]=N$1, N$1,"rg:None")</f>
        <v>rg:None</v>
      </c>
      <c r="O52" s="38" t="str">
        <f>IF(Table2[[#This Row],[!Type]]=O$1, O$1,"rg:None")</f>
        <v>rg:None</v>
      </c>
      <c r="P52" s="35" t="str">
        <f>IF(Table2[[#This Row],[!Type]]=P$1, P$1,"rg:None")</f>
        <v>rg:None</v>
      </c>
      <c r="Q52" s="35" t="str">
        <f>IF(Table2[[#This Row],[!Type]]=Q$1, Q$1,"rg:None")</f>
        <v>ref</v>
      </c>
      <c r="R52" s="35" t="str">
        <f>IF(Table2[[#This Row],[!Type]]=R$1, R$1,"rg:None")</f>
        <v>rg:None</v>
      </c>
      <c r="S52" s="35" t="str">
        <f>IF(Table2[[#This Row],[!Type]]=S$1, S$1,"rg:None")</f>
        <v>rg:None</v>
      </c>
      <c r="T52" s="38" t="str">
        <f>IF(LEN(Table2[[#This Row],[!Length]]) &gt; 0, Table2[[#This Row],[!Length]], "rg:None")</f>
        <v>rg:None</v>
      </c>
      <c r="U52" s="38" t="str">
        <f>IF(LEN(Table2[[#This Row],[!Name]]) &gt; 0, Table2[[#This Row],[!Name]], "rg:None")</f>
        <v>claimType</v>
      </c>
      <c r="V52" s="38" t="str">
        <f>IF(LEN(Table2[[#This Row],[!Description]]) &gt; 0, Table2[[#This Row],[!Description]], "rg:None")</f>
        <v>A foreign key reference into the VOClaimType table.</v>
      </c>
      <c r="W52" s="38" t="str">
        <f>IF(LEN(Table2[[#This Row],[!FK]])&gt;0,Table2[[#This Row],[!FK]],"rg:None")</f>
        <v>VerifiableClaimType</v>
      </c>
      <c r="X52" s="38" t="str">
        <f>IF(LEN(concatif2(A:A,Table2[[#This Row],[!Table]],G:G,"Y",D:D,",")) &gt; 0,"rg:[ { 'req' : '"&amp;concatif2(A:A,Table2[[#This Row],[!Table]],G:G,"Y",D:D,"' }, { 'req': '")&amp;"'} ]","rg:[]")</f>
        <v>rg:[ { 'req' : 'id' }, { 'req': 'verifiableOrgId' }, { 'req': 'claimType' }, { 'req': 'effectiveDate'} ]</v>
      </c>
      <c r="Y52" s="38" t="str">
        <f>IF(LEN(Table2[[#This Row],[!Unique]])&gt;0,IF(Table2[[#This Row],[!Type]] = "id", "rg:None","rg:True"),"rg:None")</f>
        <v>rg:None</v>
      </c>
    </row>
    <row r="53" spans="1:25" s="35" customFormat="1" ht="16.05" customHeight="1" x14ac:dyDescent="0.3">
      <c r="A53" s="27" t="s">
        <v>210</v>
      </c>
      <c r="B53" s="33" t="s">
        <v>6</v>
      </c>
      <c r="C53" s="33"/>
      <c r="D53" s="33" t="s">
        <v>81</v>
      </c>
      <c r="E53" s="39" t="s">
        <v>82</v>
      </c>
      <c r="F53" s="33"/>
      <c r="G53" s="37"/>
      <c r="H53" s="37"/>
      <c r="I53" s="35" t="str">
        <f>IF(LEN(A53) &gt; 0,"Defs","-")</f>
        <v>Defs</v>
      </c>
      <c r="J53" s="38" t="str">
        <f>IF(Table2[[#This Row],[!Type]]=J$1, J$1,"rg:None")</f>
        <v>rg:None</v>
      </c>
      <c r="K53" s="38" t="str">
        <f>IF(Table2[[#This Row],[!Type]]=K$1, K$1,"rg:None")</f>
        <v>rg:None</v>
      </c>
      <c r="L53" s="38" t="str">
        <f>IF(Table2[[#This Row],[!Type]]=L$1, L$1,"rg:None")</f>
        <v>rg:None</v>
      </c>
      <c r="M53" s="38" t="str">
        <f>IF(Table2[[#This Row],[!Type]]=M$1, M$1,"rg:None")</f>
        <v>rg:None</v>
      </c>
      <c r="N53" s="38" t="str">
        <f>IF(Table2[[#This Row],[!Type]]=N$1, N$1,"rg:None")</f>
        <v>rg:None</v>
      </c>
      <c r="O53" s="38" t="str">
        <f>IF(Table2[[#This Row],[!Type]]=O$1, O$1,"rg:None")</f>
        <v>rg:None</v>
      </c>
      <c r="P53" s="35" t="str">
        <f>IF(Table2[[#This Row],[!Type]]=P$1, P$1,"rg:None")</f>
        <v>rg:None</v>
      </c>
      <c r="Q53" s="35" t="str">
        <f>IF(Table2[[#This Row],[!Type]]=Q$1, Q$1,"rg:None")</f>
        <v>rg:None</v>
      </c>
      <c r="R53" s="35" t="str">
        <f>IF(Table2[[#This Row],[!Type]]=R$1, R$1,"rg:None")</f>
        <v>string</v>
      </c>
      <c r="S53" s="35" t="str">
        <f>IF(Table2[[#This Row],[!Type]]=S$1, S$1,"rg:None")</f>
        <v>rg:None</v>
      </c>
      <c r="T53" s="38" t="str">
        <f>IF(LEN(Table2[[#This Row],[!Length]]) &gt; 0, Table2[[#This Row],[!Length]], "rg:None")</f>
        <v>rg:None</v>
      </c>
      <c r="U53" s="38" t="str">
        <f>IF(LEN(Table2[[#This Row],[!Name]]) &gt; 0, Table2[[#This Row],[!Name]], "rg:None")</f>
        <v>claimJSON</v>
      </c>
      <c r="V53" s="38" t="str">
        <f>IF(LEN(Table2[[#This Row],[!Description]]) &gt; 0, Table2[[#This Row],[!Description]], "rg:None")</f>
        <v xml:space="preserve">The JSON for the claim as delivered from the </v>
      </c>
      <c r="W53" s="38" t="str">
        <f>IF(LEN(Table2[[#This Row],[!FK]])&gt;0,Table2[[#This Row],[!FK]],"rg:None")</f>
        <v>rg:None</v>
      </c>
      <c r="X53" s="38" t="str">
        <f>IF(LEN(concatif2(A:A,Table2[[#This Row],[!Table]],G:G,"Y",D:D,",")) &gt; 0,"rg:[ { 'req' : '"&amp;concatif2(A:A,Table2[[#This Row],[!Table]],G:G,"Y",D:D,"' }, { 'req': '")&amp;"'} ]","rg:[]")</f>
        <v>rg:[ { 'req' : 'id' }, { 'req': 'verifiableOrgId' }, { 'req': 'claimType' }, { 'req': 'effectiveDate'} ]</v>
      </c>
      <c r="Y53" s="38" t="str">
        <f>IF(LEN(Table2[[#This Row],[!Unique]])&gt;0,IF(Table2[[#This Row],[!Type]] = "id", "rg:None","rg:True"),"rg:None")</f>
        <v>rg:None</v>
      </c>
    </row>
    <row r="54" spans="1:25" s="35" customFormat="1" ht="28.8" customHeight="1" x14ac:dyDescent="0.3">
      <c r="A54" s="27" t="s">
        <v>210</v>
      </c>
      <c r="B54" s="33" t="s">
        <v>9</v>
      </c>
      <c r="C54" s="33"/>
      <c r="D54" s="33" t="s">
        <v>52</v>
      </c>
      <c r="E54" s="39" t="s">
        <v>161</v>
      </c>
      <c r="F54" s="34"/>
      <c r="G54" s="37" t="s">
        <v>14</v>
      </c>
      <c r="H54" s="37"/>
      <c r="I54" s="35" t="str">
        <f t="shared" ref="I54:I55" si="6">IF(LEN(A54) &gt; 0,"Defs","-")</f>
        <v>Defs</v>
      </c>
      <c r="J54" s="38" t="str">
        <f>IF(Table2[[#This Row],[!Type]]=J$1, J$1,"rg:None")</f>
        <v>rg:None</v>
      </c>
      <c r="K54" s="38" t="str">
        <f>IF(Table2[[#This Row],[!Type]]=K$1, K$1,"rg:None")</f>
        <v>rg:None</v>
      </c>
      <c r="L54" s="38" t="str">
        <f>IF(Table2[[#This Row],[!Type]]=L$1, L$1,"rg:None")</f>
        <v>datetime</v>
      </c>
      <c r="M54" s="38" t="str">
        <f>IF(Table2[[#This Row],[!Type]]=M$1, M$1,"rg:None")</f>
        <v>rg:None</v>
      </c>
      <c r="N54" s="38" t="str">
        <f>IF(Table2[[#This Row],[!Type]]=N$1, N$1,"rg:None")</f>
        <v>rg:None</v>
      </c>
      <c r="O54" s="38" t="str">
        <f>IF(Table2[[#This Row],[!Type]]=O$1, O$1,"rg:None")</f>
        <v>rg:None</v>
      </c>
      <c r="P54" s="35" t="str">
        <f>IF(Table2[[#This Row],[!Type]]=P$1, P$1,"rg:None")</f>
        <v>rg:None</v>
      </c>
      <c r="Q54" s="35" t="str">
        <f>IF(Table2[[#This Row],[!Type]]=Q$1, Q$1,"rg:None")</f>
        <v>rg:None</v>
      </c>
      <c r="R54" s="35" t="str">
        <f>IF(Table2[[#This Row],[!Type]]=R$1, R$1,"rg:None")</f>
        <v>rg:None</v>
      </c>
      <c r="S54" s="35" t="str">
        <f>IF(Table2[[#This Row],[!Type]]=S$1, S$1,"rg:None")</f>
        <v>rg:None</v>
      </c>
      <c r="T54" s="38" t="str">
        <f>IF(LEN(Table2[[#This Row],[!Length]]) &gt; 0, Table2[[#This Row],[!Length]], "rg:None")</f>
        <v>rg:None</v>
      </c>
      <c r="U54" s="38" t="str">
        <f>IF(LEN(Table2[[#This Row],[!Name]]) &gt; 0, Table2[[#This Row],[!Name]], "rg:None")</f>
        <v>effectiveDate</v>
      </c>
      <c r="V54" s="38" t="str">
        <f>IF(LEN(Table2[[#This Row],[!Description]]) &gt; 0, Table2[[#This Row],[!Description]], "rg:None")</f>
        <v>The date the claim was received.</v>
      </c>
      <c r="W54" s="38" t="str">
        <f>IF(LEN(Table2[[#This Row],[!FK]])&gt;0,Table2[[#This Row],[!FK]],"rg:None")</f>
        <v>rg:None</v>
      </c>
      <c r="X54" s="38" t="str">
        <f>IF(LEN(concatif2(A:A,Table2[[#This Row],[!Table]],G:G,"Y",D:D,",")) &gt; 0,"rg:[ { 'req' : '"&amp;concatif2(A:A,Table2[[#This Row],[!Table]],G:G,"Y",D:D,"' }, { 'req': '")&amp;"'} ]","rg:[]")</f>
        <v>rg:[ { 'req' : 'id' }, { 'req': 'verifiableOrgId' }, { 'req': 'claimType' }, { 'req': 'effectiveDate'} ]</v>
      </c>
      <c r="Y54" s="38" t="str">
        <f>IF(LEN(Table2[[#This Row],[!Unique]])&gt;0,IF(Table2[[#This Row],[!Type]] = "id", "rg:None","rg:True"),"rg:None")</f>
        <v>rg:None</v>
      </c>
    </row>
    <row r="55" spans="1:25" s="35" customFormat="1" ht="43.2" customHeight="1" x14ac:dyDescent="0.3">
      <c r="A55" s="27" t="s">
        <v>210</v>
      </c>
      <c r="B55" s="33" t="s">
        <v>9</v>
      </c>
      <c r="C55" s="33"/>
      <c r="D55" s="33" t="s">
        <v>53</v>
      </c>
      <c r="E55" s="39" t="s">
        <v>162</v>
      </c>
      <c r="F55" s="34"/>
      <c r="G55" s="37"/>
      <c r="H55" s="37"/>
      <c r="I55" s="35" t="str">
        <f t="shared" si="6"/>
        <v>Defs</v>
      </c>
      <c r="J55" s="38" t="str">
        <f>IF(Table2[[#This Row],[!Type]]=J$1, J$1,"rg:None")</f>
        <v>rg:None</v>
      </c>
      <c r="K55" s="38" t="str">
        <f>IF(Table2[[#This Row],[!Type]]=K$1, K$1,"rg:None")</f>
        <v>rg:None</v>
      </c>
      <c r="L55" s="38" t="str">
        <f>IF(Table2[[#This Row],[!Type]]=L$1, L$1,"rg:None")</f>
        <v>datetime</v>
      </c>
      <c r="M55" s="38" t="str">
        <f>IF(Table2[[#This Row],[!Type]]=M$1, M$1,"rg:None")</f>
        <v>rg:None</v>
      </c>
      <c r="N55" s="38" t="str">
        <f>IF(Table2[[#This Row],[!Type]]=N$1, N$1,"rg:None")</f>
        <v>rg:None</v>
      </c>
      <c r="O55" s="38" t="str">
        <f>IF(Table2[[#This Row],[!Type]]=O$1, O$1,"rg:None")</f>
        <v>rg:None</v>
      </c>
      <c r="P55" s="35" t="str">
        <f>IF(Table2[[#This Row],[!Type]]=P$1, P$1,"rg:None")</f>
        <v>rg:None</v>
      </c>
      <c r="Q55" s="35" t="str">
        <f>IF(Table2[[#This Row],[!Type]]=Q$1, Q$1,"rg:None")</f>
        <v>rg:None</v>
      </c>
      <c r="R55" s="35" t="str">
        <f>IF(Table2[[#This Row],[!Type]]=R$1, R$1,"rg:None")</f>
        <v>rg:None</v>
      </c>
      <c r="S55" s="35" t="str">
        <f>IF(Table2[[#This Row],[!Type]]=S$1, S$1,"rg:None")</f>
        <v>rg:None</v>
      </c>
      <c r="T55" s="38" t="str">
        <f>IF(LEN(Table2[[#This Row],[!Length]]) &gt; 0, Table2[[#This Row],[!Length]], "rg:None")</f>
        <v>rg:None</v>
      </c>
      <c r="U55" s="38" t="str">
        <f>IF(LEN(Table2[[#This Row],[!Name]]) &gt; 0, Table2[[#This Row],[!Name]], "rg:None")</f>
        <v>endDate</v>
      </c>
      <c r="V55" s="38" t="str">
        <f>IF(LEN(Table2[[#This Row],[!Description]]) &gt; 0, Table2[[#This Row],[!Description]], "rg:None")</f>
        <v>The date the claim was marked as no longer valid, either because it was replaced or revoked.</v>
      </c>
      <c r="W55" s="38" t="str">
        <f>IF(LEN(Table2[[#This Row],[!FK]])&gt;0,Table2[[#This Row],[!FK]],"rg:None")</f>
        <v>rg:None</v>
      </c>
      <c r="X55" s="38" t="str">
        <f>IF(LEN(concatif2(A:A,Table2[[#This Row],[!Table]],G:G,"Y",D:D,",")) &gt; 0,"rg:[ { 'req' : '"&amp;concatif2(A:A,Table2[[#This Row],[!Table]],G:G,"Y",D:D,"' }, { 'req': '")&amp;"'} ]","rg:[]")</f>
        <v>rg:[ { 'req' : 'id' }, { 'req': 'verifiableOrgId' }, { 'req': 'claimType' }, { 'req': 'effectiveDate'} ]</v>
      </c>
      <c r="Y55" s="38" t="str">
        <f>IF(LEN(Table2[[#This Row],[!Unique]])&gt;0,IF(Table2[[#This Row],[!Type]] = "id", "rg:None","rg:True"),"rg:None")</f>
        <v>rg:None</v>
      </c>
    </row>
    <row r="56" spans="1:25" s="35" customFormat="1" ht="43.2" customHeight="1" x14ac:dyDescent="0.3">
      <c r="A56" s="27" t="s">
        <v>210</v>
      </c>
      <c r="B56" s="33" t="s">
        <v>7</v>
      </c>
      <c r="C56" s="33"/>
      <c r="D56" s="33" t="s">
        <v>105</v>
      </c>
      <c r="E56" s="34" t="s">
        <v>106</v>
      </c>
      <c r="F56" s="34" t="s">
        <v>112</v>
      </c>
      <c r="G56" s="37"/>
      <c r="H56" s="37"/>
      <c r="I56" s="35" t="str">
        <f>IF(LEN(A56) &gt; 0,"Defs","-")</f>
        <v>Defs</v>
      </c>
      <c r="J56" s="38" t="str">
        <f>IF(Table2[[#This Row],[!Type]]=J$1, J$1,"rg:None")</f>
        <v>rg:None</v>
      </c>
      <c r="K56" s="38" t="str">
        <f>IF(Table2[[#This Row],[!Type]]=K$1, K$1,"rg:None")</f>
        <v>rg:None</v>
      </c>
      <c r="L56" s="38" t="str">
        <f>IF(Table2[[#This Row],[!Type]]=L$1, L$1,"rg:None")</f>
        <v>rg:None</v>
      </c>
      <c r="M56" s="38" t="str">
        <f>IF(Table2[[#This Row],[!Type]]=M$1, M$1,"rg:None")</f>
        <v>rg:None</v>
      </c>
      <c r="N56" s="38" t="str">
        <f>IF(Table2[[#This Row],[!Type]]=N$1, N$1,"rg:None")</f>
        <v>rg:None</v>
      </c>
      <c r="O56" s="38" t="str">
        <f>IF(Table2[[#This Row],[!Type]]=O$1, O$1,"rg:None")</f>
        <v>rg:None</v>
      </c>
      <c r="P56" s="35" t="str">
        <f>IF(Table2[[#This Row],[!Type]]=P$1, P$1,"rg:None")</f>
        <v>rg:None</v>
      </c>
      <c r="Q56" s="35" t="str">
        <f>IF(Table2[[#This Row],[!Type]]=Q$1, Q$1,"rg:None")</f>
        <v>ref</v>
      </c>
      <c r="R56" s="35" t="str">
        <f>IF(Table2[[#This Row],[!Type]]=R$1, R$1,"rg:None")</f>
        <v>rg:None</v>
      </c>
      <c r="S56" s="35" t="str">
        <f>IF(Table2[[#This Row],[!Type]]=S$1, S$1,"rg:None")</f>
        <v>rg:None</v>
      </c>
      <c r="T56" s="38" t="str">
        <f>IF(LEN(Table2[[#This Row],[!Length]]) &gt; 0, Table2[[#This Row],[!Length]], "rg:None")</f>
        <v>rg:None</v>
      </c>
      <c r="U56" s="38" t="str">
        <f>IF(LEN(Table2[[#This Row],[!Name]]) &gt; 0, Table2[[#This Row],[!Name]], "rg:None")</f>
        <v>inactiveClaimReasonId</v>
      </c>
      <c r="V56" s="38" t="str">
        <f>IF(LEN(Table2[[#This Row],[!Description]]) &gt; 0, Table2[[#This Row],[!Description]], "rg:None")</f>
        <v>A foreign key reference into the IncactiveClaimReason table.</v>
      </c>
      <c r="W56" s="38" t="str">
        <f>IF(LEN(Table2[[#This Row],[!FK]])&gt;0,Table2[[#This Row],[!FK]],"rg:None")</f>
        <v>InactiveClaimReason</v>
      </c>
      <c r="X56" s="38" t="str">
        <f>IF(LEN(concatif2(A:A,Table2[[#This Row],[!Table]],G:G,"Y",D:D,",")) &gt; 0,"rg:[ { 'req' : '"&amp;concatif2(A:A,Table2[[#This Row],[!Table]],G:G,"Y",D:D,"' }, { 'req': '")&amp;"'} ]","rg:[]")</f>
        <v>rg:[ { 'req' : 'id' }, { 'req': 'verifiableOrgId' }, { 'req': 'claimType' }, { 'req': 'effectiveDate'} ]</v>
      </c>
      <c r="Y56" s="38" t="str">
        <f>IF(LEN(Table2[[#This Row],[!Unique]])&gt;0,IF(Table2[[#This Row],[!Type]] = "id", "rg:None","rg:True"),"rg:None")</f>
        <v>rg:None</v>
      </c>
    </row>
    <row r="57" spans="1:25" s="35" customFormat="1" ht="43.2" customHeight="1" x14ac:dyDescent="0.3">
      <c r="A57" s="42" t="s">
        <v>213</v>
      </c>
      <c r="B57" s="33" t="s">
        <v>3</v>
      </c>
      <c r="C57" s="33"/>
      <c r="D57" s="42" t="s">
        <v>213</v>
      </c>
      <c r="E57" s="39" t="s">
        <v>180</v>
      </c>
      <c r="F57" s="34"/>
      <c r="G57" s="37"/>
      <c r="H57" s="37"/>
      <c r="I57" s="35" t="str">
        <f>IF(LEN(A57) &gt; 0,"Defs","-")</f>
        <v>Defs</v>
      </c>
      <c r="J57" s="38" t="str">
        <f>IF(Table2[[#This Row],[!Type]]=J$1, J$1,"rg:None")</f>
        <v>rg:None</v>
      </c>
      <c r="K57" s="38" t="str">
        <f>IF(Table2[[#This Row],[!Type]]=K$1, K$1,"rg:None")</f>
        <v>rg:None</v>
      </c>
      <c r="L57" s="38" t="str">
        <f>IF(Table2[[#This Row],[!Type]]=L$1, L$1,"rg:None")</f>
        <v>rg:None</v>
      </c>
      <c r="M57" s="38" t="str">
        <f>IF(Table2[[#This Row],[!Type]]=M$1, M$1,"rg:None")</f>
        <v>rg:None</v>
      </c>
      <c r="N57" s="38" t="str">
        <f>IF(Table2[[#This Row],[!Type]]=N$1, N$1,"rg:None")</f>
        <v>rg:None</v>
      </c>
      <c r="O57" s="38" t="str">
        <f>IF(Table2[[#This Row],[!Type]]=O$1, O$1,"rg:None")</f>
        <v>rg:None</v>
      </c>
      <c r="P57" s="35" t="str">
        <f>IF(Table2[[#This Row],[!Type]]=P$1, P$1,"rg:None")</f>
        <v>rg:None</v>
      </c>
      <c r="Q57" s="35" t="str">
        <f>IF(Table2[[#This Row],[!Type]]=Q$1, Q$1,"rg:None")</f>
        <v>rg:None</v>
      </c>
      <c r="R57" s="35" t="str">
        <f>IF(Table2[[#This Row],[!Type]]=R$1, R$1,"rg:None")</f>
        <v>rg:None</v>
      </c>
      <c r="S57" s="35" t="str">
        <f>IF(Table2[[#This Row],[!Type]]=S$1, S$1,"rg:None")</f>
        <v>table</v>
      </c>
      <c r="T57" s="38" t="str">
        <f>IF(LEN(Table2[[#This Row],[!Length]]) &gt; 0, Table2[[#This Row],[!Length]], "rg:None")</f>
        <v>rg:None</v>
      </c>
      <c r="U57" s="38" t="str">
        <f>IF(LEN(Table2[[#This Row],[!Name]]) &gt; 0, Table2[[#This Row],[!Name]], "rg:None")</f>
        <v>VerifiableClaimType</v>
      </c>
      <c r="V57" s="38" t="str">
        <f>IF(LEN(Table2[[#This Row],[!Description]]) &gt; 0, Table2[[#This Row],[!Description]], "rg:None")</f>
        <v xml:space="preserve">A list of the possible types of a Verifiable Organization, as defined by </v>
      </c>
      <c r="W57" s="38" t="str">
        <f>IF(LEN(Table2[[#This Row],[!FK]])&gt;0,Table2[[#This Row],[!FK]],"rg:None")</f>
        <v>rg:None</v>
      </c>
      <c r="X57" s="38" t="str">
        <f>IF(LEN(concatif2(A:A,Table2[[#This Row],[!Table]],G:G,"Y",D:D,",")) &gt; 0,"rg:[ { 'req' : '"&amp;concatif2(A:A,Table2[[#This Row],[!Table]],G:G,"Y",D:D,"' }, { 'req': '")&amp;"'} ]","rg:[]")</f>
        <v>rg:[ { 'req' : 'id' }, { 'req': 'claimType' }, { 'req': 'issuerServiceId' }, { 'req': 'issuerURL' }, { 'req': 'effectiveDate'} ]</v>
      </c>
      <c r="Y57" s="38" t="str">
        <f>IF(LEN(Table2[[#This Row],[!Unique]])&gt;0,IF(Table2[[#This Row],[!Type]] = "id", "rg:None","rg:True"),"rg:None")</f>
        <v>rg:None</v>
      </c>
    </row>
    <row r="58" spans="1:25" s="35" customFormat="1" ht="28.8" customHeight="1" x14ac:dyDescent="0.3">
      <c r="A58" s="42" t="s">
        <v>213</v>
      </c>
      <c r="B58" s="33" t="s">
        <v>5</v>
      </c>
      <c r="C58" s="33"/>
      <c r="D58" s="33" t="s">
        <v>5</v>
      </c>
      <c r="E58" s="39" t="s">
        <v>194</v>
      </c>
      <c r="F58" s="34"/>
      <c r="G58" s="37" t="s">
        <v>14</v>
      </c>
      <c r="H58" s="37" t="s">
        <v>14</v>
      </c>
      <c r="I58" s="35" t="str">
        <f t="shared" ref="I58:I59" si="7">IF(LEN(A58) &gt; 0,"Defs","-")</f>
        <v>Defs</v>
      </c>
      <c r="J58" s="38" t="str">
        <f>IF(Table2[[#This Row],[!Type]]=J$1, J$1,"rg:None")</f>
        <v>rg:None</v>
      </c>
      <c r="K58" s="38" t="str">
        <f>IF(Table2[[#This Row],[!Type]]=K$1, K$1,"rg:None")</f>
        <v>rg:None</v>
      </c>
      <c r="L58" s="38" t="str">
        <f>IF(Table2[[#This Row],[!Type]]=L$1, L$1,"rg:None")</f>
        <v>rg:None</v>
      </c>
      <c r="M58" s="38" t="str">
        <f>IF(Table2[[#This Row],[!Type]]=M$1, M$1,"rg:None")</f>
        <v>id</v>
      </c>
      <c r="N58" s="38" t="str">
        <f>IF(Table2[[#This Row],[!Type]]=N$1, N$1,"rg:None")</f>
        <v>rg:None</v>
      </c>
      <c r="O58" s="38" t="str">
        <f>IF(Table2[[#This Row],[!Type]]=O$1, O$1,"rg:None")</f>
        <v>rg:None</v>
      </c>
      <c r="P58" s="35" t="str">
        <f>IF(Table2[[#This Row],[!Type]]=P$1, P$1,"rg:None")</f>
        <v>rg:None</v>
      </c>
      <c r="Q58" s="35" t="str">
        <f>IF(Table2[[#This Row],[!Type]]=Q$1, Q$1,"rg:None")</f>
        <v>rg:None</v>
      </c>
      <c r="R58" s="35" t="str">
        <f>IF(Table2[[#This Row],[!Type]]=R$1, R$1,"rg:None")</f>
        <v>rg:None</v>
      </c>
      <c r="S58" s="35" t="str">
        <f>IF(Table2[[#This Row],[!Type]]=S$1, S$1,"rg:None")</f>
        <v>rg:None</v>
      </c>
      <c r="T58" s="38" t="str">
        <f>IF(LEN(Table2[[#This Row],[!Length]]) &gt; 0, Table2[[#This Row],[!Length]], "rg:None")</f>
        <v>rg:None</v>
      </c>
      <c r="U58" s="38" t="str">
        <f>IF(LEN(Table2[[#This Row],[!Name]]) &gt; 0, Table2[[#This Row],[!Name]], "rg:None")</f>
        <v>id</v>
      </c>
      <c r="V58" s="38" t="str">
        <f>IF(LEN(Table2[[#This Row],[!Description]]) &gt; 0, Table2[[#This Row],[!Description]], "rg:None")</f>
        <v>A system-generated unique identifier for a Verifiable Organization Location Type.</v>
      </c>
      <c r="W58" s="38" t="str">
        <f>IF(LEN(Table2[[#This Row],[!FK]])&gt;0,Table2[[#This Row],[!FK]],"rg:None")</f>
        <v>rg:None</v>
      </c>
      <c r="X58" s="38" t="str">
        <f>IF(LEN(concatif2(A:A,Table2[[#This Row],[!Table]],G:G,"Y",D:D,",")) &gt; 0,"rg:[ { 'req' : '"&amp;concatif2(A:A,Table2[[#This Row],[!Table]],G:G,"Y",D:D,"' }, { 'req': '")&amp;"'} ]","rg:[]")</f>
        <v>rg:[ { 'req' : 'id' }, { 'req': 'claimType' }, { 'req': 'issuerServiceId' }, { 'req': 'issuerURL' }, { 'req': 'effectiveDate'} ]</v>
      </c>
      <c r="Y58" s="38" t="str">
        <f>IF(LEN(Table2[[#This Row],[!Unique]])&gt;0,IF(Table2[[#This Row],[!Type]] = "id", "rg:None","rg:True"),"rg:None")</f>
        <v>rg:None</v>
      </c>
    </row>
    <row r="59" spans="1:25" s="35" customFormat="1" x14ac:dyDescent="0.3">
      <c r="A59" s="42" t="s">
        <v>213</v>
      </c>
      <c r="B59" s="33" t="s">
        <v>6</v>
      </c>
      <c r="C59" s="33"/>
      <c r="D59" s="42" t="s">
        <v>232</v>
      </c>
      <c r="E59" s="39" t="s">
        <v>83</v>
      </c>
      <c r="F59" s="34"/>
      <c r="G59" s="37" t="s">
        <v>14</v>
      </c>
      <c r="H59" s="37"/>
      <c r="I59" s="35" t="str">
        <f t="shared" si="7"/>
        <v>Defs</v>
      </c>
      <c r="J59" s="38" t="str">
        <f>IF(Table2[[#This Row],[!Type]]=J$1, J$1,"rg:None")</f>
        <v>rg:None</v>
      </c>
      <c r="K59" s="38" t="str">
        <f>IF(Table2[[#This Row],[!Type]]=K$1, K$1,"rg:None")</f>
        <v>rg:None</v>
      </c>
      <c r="L59" s="38" t="str">
        <f>IF(Table2[[#This Row],[!Type]]=L$1, L$1,"rg:None")</f>
        <v>rg:None</v>
      </c>
      <c r="M59" s="38" t="str">
        <f>IF(Table2[[#This Row],[!Type]]=M$1, M$1,"rg:None")</f>
        <v>rg:None</v>
      </c>
      <c r="N59" s="38" t="str">
        <f>IF(Table2[[#This Row],[!Type]]=N$1, N$1,"rg:None")</f>
        <v>rg:None</v>
      </c>
      <c r="O59" s="38" t="str">
        <f>IF(Table2[[#This Row],[!Type]]=O$1, O$1,"rg:None")</f>
        <v>rg:None</v>
      </c>
      <c r="P59" s="35" t="str">
        <f>IF(Table2[[#This Row],[!Type]]=P$1, P$1,"rg:None")</f>
        <v>rg:None</v>
      </c>
      <c r="Q59" s="35" t="str">
        <f>IF(Table2[[#This Row],[!Type]]=Q$1, Q$1,"rg:None")</f>
        <v>rg:None</v>
      </c>
      <c r="R59" s="35" t="str">
        <f>IF(Table2[[#This Row],[!Type]]=R$1, R$1,"rg:None")</f>
        <v>string</v>
      </c>
      <c r="S59" s="35" t="str">
        <f>IF(Table2[[#This Row],[!Type]]=S$1, S$1,"rg:None")</f>
        <v>rg:None</v>
      </c>
      <c r="T59" s="38" t="str">
        <f>IF(LEN(Table2[[#This Row],[!Length]]) &gt; 0, Table2[[#This Row],[!Length]], "rg:None")</f>
        <v>rg:None</v>
      </c>
      <c r="U59" s="38" t="str">
        <f>IF(LEN(Table2[[#This Row],[!Name]]) &gt; 0, Table2[[#This Row],[!Name]], "rg:None")</f>
        <v>claimType</v>
      </c>
      <c r="V59" s="38" t="str">
        <f>IF(LEN(Table2[[#This Row],[!Description]]) &gt; 0, Table2[[#This Row],[!Description]], "rg:None")</f>
        <v>A user friendly name for the claim type.</v>
      </c>
      <c r="W59" s="38" t="str">
        <f>IF(LEN(Table2[[#This Row],[!FK]])&gt;0,Table2[[#This Row],[!FK]],"rg:None")</f>
        <v>rg:None</v>
      </c>
      <c r="X59" s="38" t="str">
        <f>IF(LEN(concatif2(A:A,Table2[[#This Row],[!Table]],G:G,"Y",D:D,",")) &gt; 0,"rg:[ { 'req' : '"&amp;concatif2(A:A,Table2[[#This Row],[!Table]],G:G,"Y",D:D,"' }, { 'req': '")&amp;"'} ]","rg:[]")</f>
        <v>rg:[ { 'req' : 'id' }, { 'req': 'claimType' }, { 'req': 'issuerServiceId' }, { 'req': 'issuerURL' }, { 'req': 'effectiveDate'} ]</v>
      </c>
      <c r="Y59" s="38" t="str">
        <f>IF(LEN(Table2[[#This Row],[!Unique]])&gt;0,IF(Table2[[#This Row],[!Type]] = "id", "rg:None","rg:True"),"rg:None")</f>
        <v>rg:None</v>
      </c>
    </row>
    <row r="60" spans="1:25" s="35" customFormat="1" ht="28.8" x14ac:dyDescent="0.3">
      <c r="A60" s="42" t="s">
        <v>213</v>
      </c>
      <c r="B60" s="33" t="s">
        <v>6</v>
      </c>
      <c r="C60" s="33"/>
      <c r="D60" s="33" t="s">
        <v>87</v>
      </c>
      <c r="E60" s="39" t="s">
        <v>88</v>
      </c>
      <c r="F60" s="34"/>
      <c r="G60" s="37"/>
      <c r="H60" s="37"/>
      <c r="I60" s="35" t="str">
        <f>IF(LEN(A60) &gt; 0,"Defs","-")</f>
        <v>Defs</v>
      </c>
      <c r="J60" s="38" t="str">
        <f>IF(Table2[[#This Row],[!Type]]=J$1, J$1,"rg:None")</f>
        <v>rg:None</v>
      </c>
      <c r="K60" s="38" t="str">
        <f>IF(Table2[[#This Row],[!Type]]=K$1, K$1,"rg:None")</f>
        <v>rg:None</v>
      </c>
      <c r="L60" s="38" t="str">
        <f>IF(Table2[[#This Row],[!Type]]=L$1, L$1,"rg:None")</f>
        <v>rg:None</v>
      </c>
      <c r="M60" s="38" t="str">
        <f>IF(Table2[[#This Row],[!Type]]=M$1, M$1,"rg:None")</f>
        <v>rg:None</v>
      </c>
      <c r="N60" s="38" t="str">
        <f>IF(Table2[[#This Row],[!Type]]=N$1, N$1,"rg:None")</f>
        <v>rg:None</v>
      </c>
      <c r="O60" s="38" t="str">
        <f>IF(Table2[[#This Row],[!Type]]=O$1, O$1,"rg:None")</f>
        <v>rg:None</v>
      </c>
      <c r="P60" s="35" t="str">
        <f>IF(Table2[[#This Row],[!Type]]=P$1, P$1,"rg:None")</f>
        <v>rg:None</v>
      </c>
      <c r="Q60" s="35" t="str">
        <f>IF(Table2[[#This Row],[!Type]]=Q$1, Q$1,"rg:None")</f>
        <v>rg:None</v>
      </c>
      <c r="R60" s="35" t="str">
        <f>IF(Table2[[#This Row],[!Type]]=R$1, R$1,"rg:None")</f>
        <v>string</v>
      </c>
      <c r="S60" s="35" t="str">
        <f>IF(Table2[[#This Row],[!Type]]=S$1, S$1,"rg:None")</f>
        <v>rg:None</v>
      </c>
      <c r="T60" s="38" t="str">
        <f>IF(LEN(Table2[[#This Row],[!Length]]) &gt; 0, Table2[[#This Row],[!Length]], "rg:None")</f>
        <v>rg:None</v>
      </c>
      <c r="U60" s="38" t="str">
        <f>IF(LEN(Table2[[#This Row],[!Name]]) &gt; 0, Table2[[#This Row],[!Name]], "rg:None")</f>
        <v>base64Logo</v>
      </c>
      <c r="V60" s="38" t="str">
        <f>IF(LEN(Table2[[#This Row],[!Description]]) &gt; 0, Table2[[#This Row],[!Description]], "rg:None")</f>
        <v>A base64-encoded logo to display as a representation of the claim.</v>
      </c>
      <c r="W60" s="38" t="str">
        <f>IF(LEN(Table2[[#This Row],[!FK]])&gt;0,Table2[[#This Row],[!FK]],"rg:None")</f>
        <v>rg:None</v>
      </c>
      <c r="X60" s="38" t="str">
        <f>IF(LEN(concatif2(A:A,Table2[[#This Row],[!Table]],G:G,"Y",D:D,",")) &gt; 0,"rg:[ { 'req' : '"&amp;concatif2(A:A,Table2[[#This Row],[!Table]],G:G,"Y",D:D,"' }, { 'req': '")&amp;"'} ]","rg:[]")</f>
        <v>rg:[ { 'req' : 'id' }, { 'req': 'claimType' }, { 'req': 'issuerServiceId' }, { 'req': 'issuerURL' }, { 'req': 'effectiveDate'} ]</v>
      </c>
      <c r="Y60" s="38" t="str">
        <f>IF(LEN(Table2[[#This Row],[!Unique]])&gt;0,IF(Table2[[#This Row],[!Type]] = "id", "rg:None","rg:True"),"rg:None")</f>
        <v>rg:None</v>
      </c>
    </row>
    <row r="61" spans="1:25" s="35" customFormat="1" ht="16.05" customHeight="1" x14ac:dyDescent="0.3">
      <c r="A61" s="42" t="s">
        <v>213</v>
      </c>
      <c r="B61" s="33" t="s">
        <v>7</v>
      </c>
      <c r="C61" s="33"/>
      <c r="D61" s="42" t="s">
        <v>231</v>
      </c>
      <c r="E61" s="39" t="s">
        <v>84</v>
      </c>
      <c r="F61" s="33" t="s">
        <v>113</v>
      </c>
      <c r="G61" s="37" t="s">
        <v>14</v>
      </c>
      <c r="H61" s="37"/>
      <c r="I61" s="35" t="str">
        <f t="shared" ref="I61:I72" si="8">IF(LEN(A61) &gt; 0,"Defs","-")</f>
        <v>Defs</v>
      </c>
      <c r="J61" s="38" t="str">
        <f>IF(Table2[[#This Row],[!Type]]=J$1, J$1,"rg:None")</f>
        <v>rg:None</v>
      </c>
      <c r="K61" s="38" t="str">
        <f>IF(Table2[[#This Row],[!Type]]=K$1, K$1,"rg:None")</f>
        <v>rg:None</v>
      </c>
      <c r="L61" s="38" t="str">
        <f>IF(Table2[[#This Row],[!Type]]=L$1, L$1,"rg:None")</f>
        <v>rg:None</v>
      </c>
      <c r="M61" s="38" t="str">
        <f>IF(Table2[[#This Row],[!Type]]=M$1, M$1,"rg:None")</f>
        <v>rg:None</v>
      </c>
      <c r="N61" s="38" t="str">
        <f>IF(Table2[[#This Row],[!Type]]=N$1, N$1,"rg:None")</f>
        <v>rg:None</v>
      </c>
      <c r="O61" s="38" t="str">
        <f>IF(Table2[[#This Row],[!Type]]=O$1, O$1,"rg:None")</f>
        <v>rg:None</v>
      </c>
      <c r="P61" s="35" t="str">
        <f>IF(Table2[[#This Row],[!Type]]=P$1, P$1,"rg:None")</f>
        <v>rg:None</v>
      </c>
      <c r="Q61" s="35" t="str">
        <f>IF(Table2[[#This Row],[!Type]]=Q$1, Q$1,"rg:None")</f>
        <v>ref</v>
      </c>
      <c r="R61" s="35" t="str">
        <f>IF(Table2[[#This Row],[!Type]]=R$1, R$1,"rg:None")</f>
        <v>rg:None</v>
      </c>
      <c r="S61" s="35" t="str">
        <f>IF(Table2[[#This Row],[!Type]]=S$1, S$1,"rg:None")</f>
        <v>rg:None</v>
      </c>
      <c r="T61" s="38" t="str">
        <f>IF(LEN(Table2[[#This Row],[!Length]]) &gt; 0, Table2[[#This Row],[!Length]], "rg:None")</f>
        <v>rg:None</v>
      </c>
      <c r="U61" s="38" t="str">
        <f>IF(LEN(Table2[[#This Row],[!Name]]) &gt; 0, Table2[[#This Row],[!Name]], "rg:None")</f>
        <v>issuerServiceId</v>
      </c>
      <c r="V61" s="38" t="str">
        <f>IF(LEN(Table2[[#This Row],[!Description]]) &gt; 0, Table2[[#This Row],[!Description]], "rg:None")</f>
        <v>The name of the organization that issued the claim.</v>
      </c>
      <c r="W61" s="38" t="str">
        <f>IF(LEN(Table2[[#This Row],[!FK]])&gt;0,Table2[[#This Row],[!FK]],"rg:None")</f>
        <v>IssuerService</v>
      </c>
      <c r="X61" s="38" t="str">
        <f>IF(LEN(concatif2(A:A,Table2[[#This Row],[!Table]],G:G,"Y",D:D,",")) &gt; 0,"rg:[ { 'req' : '"&amp;concatif2(A:A,Table2[[#This Row],[!Table]],G:G,"Y",D:D,"' }, { 'req': '")&amp;"'} ]","rg:[]")</f>
        <v>rg:[ { 'req' : 'id' }, { 'req': 'claimType' }, { 'req': 'issuerServiceId' }, { 'req': 'issuerURL' }, { 'req': 'effectiveDate'} ]</v>
      </c>
      <c r="Y61" s="38" t="str">
        <f>IF(LEN(Table2[[#This Row],[!Unique]])&gt;0,IF(Table2[[#This Row],[!Type]] = "id", "rg:None","rg:True"),"rg:None")</f>
        <v>rg:None</v>
      </c>
    </row>
    <row r="62" spans="1:25" s="35" customFormat="1" ht="28.8" customHeight="1" x14ac:dyDescent="0.3">
      <c r="A62" s="42" t="s">
        <v>213</v>
      </c>
      <c r="B62" s="33" t="s">
        <v>6</v>
      </c>
      <c r="C62" s="33"/>
      <c r="D62" s="33" t="s">
        <v>85</v>
      </c>
      <c r="E62" s="39" t="s">
        <v>86</v>
      </c>
      <c r="F62" s="34"/>
      <c r="G62" s="37" t="s">
        <v>14</v>
      </c>
      <c r="H62" s="37"/>
      <c r="I62" s="35" t="str">
        <f t="shared" si="8"/>
        <v>Defs</v>
      </c>
      <c r="J62" s="38" t="str">
        <f>IF(Table2[[#This Row],[!Type]]=J$1, J$1,"rg:None")</f>
        <v>rg:None</v>
      </c>
      <c r="K62" s="38" t="str">
        <f>IF(Table2[[#This Row],[!Type]]=K$1, K$1,"rg:None")</f>
        <v>rg:None</v>
      </c>
      <c r="L62" s="38" t="str">
        <f>IF(Table2[[#This Row],[!Type]]=L$1, L$1,"rg:None")</f>
        <v>rg:None</v>
      </c>
      <c r="M62" s="38" t="str">
        <f>IF(Table2[[#This Row],[!Type]]=M$1, M$1,"rg:None")</f>
        <v>rg:None</v>
      </c>
      <c r="N62" s="38" t="str">
        <f>IF(Table2[[#This Row],[!Type]]=N$1, N$1,"rg:None")</f>
        <v>rg:None</v>
      </c>
      <c r="O62" s="38" t="str">
        <f>IF(Table2[[#This Row],[!Type]]=O$1, O$1,"rg:None")</f>
        <v>rg:None</v>
      </c>
      <c r="P62" s="35" t="str">
        <f>IF(Table2[[#This Row],[!Type]]=P$1, P$1,"rg:None")</f>
        <v>rg:None</v>
      </c>
      <c r="Q62" s="35" t="str">
        <f>IF(Table2[[#This Row],[!Type]]=Q$1, Q$1,"rg:None")</f>
        <v>rg:None</v>
      </c>
      <c r="R62" s="35" t="str">
        <f>IF(Table2[[#This Row],[!Type]]=R$1, R$1,"rg:None")</f>
        <v>string</v>
      </c>
      <c r="S62" s="35" t="str">
        <f>IF(Table2[[#This Row],[!Type]]=S$1, S$1,"rg:None")</f>
        <v>rg:None</v>
      </c>
      <c r="T62" s="38" t="str">
        <f>IF(LEN(Table2[[#This Row],[!Length]]) &gt; 0, Table2[[#This Row],[!Length]], "rg:None")</f>
        <v>rg:None</v>
      </c>
      <c r="U62" s="38" t="str">
        <f>IF(LEN(Table2[[#This Row],[!Name]]) &gt; 0, Table2[[#This Row],[!Name]], "rg:None")</f>
        <v>issuerURL</v>
      </c>
      <c r="V62" s="38" t="str">
        <f>IF(LEN(Table2[[#This Row],[!Description]]) &gt; 0, Table2[[#This Row],[!Description]], "rg:None")</f>
        <v>The URL of the claim issuer organization.</v>
      </c>
      <c r="W62" s="38" t="str">
        <f>IF(LEN(Table2[[#This Row],[!FK]])&gt;0,Table2[[#This Row],[!FK]],"rg:None")</f>
        <v>rg:None</v>
      </c>
      <c r="X62" s="38" t="str">
        <f>IF(LEN(concatif2(A:A,Table2[[#This Row],[!Table]],G:G,"Y",D:D,",")) &gt; 0,"rg:[ { 'req' : '"&amp;concatif2(A:A,Table2[[#This Row],[!Table]],G:G,"Y",D:D,"' }, { 'req': '")&amp;"'} ]","rg:[]")</f>
        <v>rg:[ { 'req' : 'id' }, { 'req': 'claimType' }, { 'req': 'issuerServiceId' }, { 'req': 'issuerURL' }, { 'req': 'effectiveDate'} ]</v>
      </c>
      <c r="Y62" s="38" t="str">
        <f>IF(LEN(Table2[[#This Row],[!Unique]])&gt;0,IF(Table2[[#This Row],[!Type]] = "id", "rg:None","rg:True"),"rg:None")</f>
        <v>rg:None</v>
      </c>
    </row>
    <row r="63" spans="1:25" s="35" customFormat="1" ht="28.8" customHeight="1" x14ac:dyDescent="0.3">
      <c r="A63" s="42" t="s">
        <v>213</v>
      </c>
      <c r="B63" s="33" t="s">
        <v>9</v>
      </c>
      <c r="C63" s="33"/>
      <c r="D63" s="33" t="s">
        <v>52</v>
      </c>
      <c r="E63" s="39" t="s">
        <v>204</v>
      </c>
      <c r="F63" s="34"/>
      <c r="G63" s="37" t="s">
        <v>14</v>
      </c>
      <c r="H63" s="37"/>
      <c r="I63" s="35" t="str">
        <f t="shared" ref="I63:I64" si="9">IF(LEN(A63) &gt; 0,"Defs","-")</f>
        <v>Defs</v>
      </c>
      <c r="J63" s="38" t="str">
        <f>IF(Table2[[#This Row],[!Type]]=J$1, J$1,"rg:None")</f>
        <v>rg:None</v>
      </c>
      <c r="K63" s="38" t="str">
        <f>IF(Table2[[#This Row],[!Type]]=K$1, K$1,"rg:None")</f>
        <v>rg:None</v>
      </c>
      <c r="L63" s="38" t="str">
        <f>IF(Table2[[#This Row],[!Type]]=L$1, L$1,"rg:None")</f>
        <v>datetime</v>
      </c>
      <c r="M63" s="38" t="str">
        <f>IF(Table2[[#This Row],[!Type]]=M$1, M$1,"rg:None")</f>
        <v>rg:None</v>
      </c>
      <c r="N63" s="38" t="str">
        <f>IF(Table2[[#This Row],[!Type]]=N$1, N$1,"rg:None")</f>
        <v>rg:None</v>
      </c>
      <c r="O63" s="38" t="str">
        <f>IF(Table2[[#This Row],[!Type]]=O$1, O$1,"rg:None")</f>
        <v>rg:None</v>
      </c>
      <c r="P63" s="35" t="str">
        <f>IF(Table2[[#This Row],[!Type]]=P$1, P$1,"rg:None")</f>
        <v>rg:None</v>
      </c>
      <c r="Q63" s="35" t="str">
        <f>IF(Table2[[#This Row],[!Type]]=Q$1, Q$1,"rg:None")</f>
        <v>rg:None</v>
      </c>
      <c r="R63" s="35" t="str">
        <f>IF(Table2[[#This Row],[!Type]]=R$1, R$1,"rg:None")</f>
        <v>rg:None</v>
      </c>
      <c r="S63" s="35" t="str">
        <f>IF(Table2[[#This Row],[!Type]]=S$1, S$1,"rg:None")</f>
        <v>rg:None</v>
      </c>
      <c r="T63" s="38" t="str">
        <f>IF(LEN(Table2[[#This Row],[!Length]]) &gt; 0, Table2[[#This Row],[!Length]], "rg:None")</f>
        <v>rg:None</v>
      </c>
      <c r="U63" s="38" t="str">
        <f>IF(LEN(Table2[[#This Row],[!Name]]) &gt; 0, Table2[[#This Row],[!Name]], "rg:None")</f>
        <v>effectiveDate</v>
      </c>
      <c r="V63" s="38" t="str">
        <f>IF(LEN(Table2[[#This Row],[!Description]]) &gt; 0, Table2[[#This Row],[!Description]], "rg:None")</f>
        <v>The date upon which the Verifiable Organization Claim type was activated for use.</v>
      </c>
      <c r="W63" s="38" t="str">
        <f>IF(LEN(Table2[[#This Row],[!FK]])&gt;0,Table2[[#This Row],[!FK]],"rg:None")</f>
        <v>rg:None</v>
      </c>
      <c r="X63" s="38" t="str">
        <f>IF(LEN(concatif2(A:A,Table2[[#This Row],[!Table]],G:G,"Y",D:D,",")) &gt; 0,"rg:[ { 'req' : '"&amp;concatif2(A:A,Table2[[#This Row],[!Table]],G:G,"Y",D:D,"' }, { 'req': '")&amp;"'} ]","rg:[]")</f>
        <v>rg:[ { 'req' : 'id' }, { 'req': 'claimType' }, { 'req': 'issuerServiceId' }, { 'req': 'issuerURL' }, { 'req': 'effectiveDate'} ]</v>
      </c>
      <c r="Y63" s="38" t="str">
        <f>IF(LEN(Table2[[#This Row],[!Unique]])&gt;0,IF(Table2[[#This Row],[!Type]] = "id", "rg:None","rg:True"),"rg:None")</f>
        <v>rg:None</v>
      </c>
    </row>
    <row r="64" spans="1:25" s="35" customFormat="1" ht="28.8" customHeight="1" x14ac:dyDescent="0.3">
      <c r="A64" s="42" t="s">
        <v>213</v>
      </c>
      <c r="B64" s="33" t="s">
        <v>9</v>
      </c>
      <c r="C64" s="33"/>
      <c r="D64" s="33" t="s">
        <v>53</v>
      </c>
      <c r="E64" s="39" t="s">
        <v>205</v>
      </c>
      <c r="F64" s="34"/>
      <c r="G64" s="37"/>
      <c r="H64" s="37"/>
      <c r="I64" s="35" t="str">
        <f t="shared" si="9"/>
        <v>Defs</v>
      </c>
      <c r="J64" s="38" t="str">
        <f>IF(Table2[[#This Row],[!Type]]=J$1, J$1,"rg:None")</f>
        <v>rg:None</v>
      </c>
      <c r="K64" s="38" t="str">
        <f>IF(Table2[[#This Row],[!Type]]=K$1, K$1,"rg:None")</f>
        <v>rg:None</v>
      </c>
      <c r="L64" s="38" t="str">
        <f>IF(Table2[[#This Row],[!Type]]=L$1, L$1,"rg:None")</f>
        <v>datetime</v>
      </c>
      <c r="M64" s="38" t="str">
        <f>IF(Table2[[#This Row],[!Type]]=M$1, M$1,"rg:None")</f>
        <v>rg:None</v>
      </c>
      <c r="N64" s="38" t="str">
        <f>IF(Table2[[#This Row],[!Type]]=N$1, N$1,"rg:None")</f>
        <v>rg:None</v>
      </c>
      <c r="O64" s="38" t="str">
        <f>IF(Table2[[#This Row],[!Type]]=O$1, O$1,"rg:None")</f>
        <v>rg:None</v>
      </c>
      <c r="P64" s="35" t="str">
        <f>IF(Table2[[#This Row],[!Type]]=P$1, P$1,"rg:None")</f>
        <v>rg:None</v>
      </c>
      <c r="Q64" s="35" t="str">
        <f>IF(Table2[[#This Row],[!Type]]=Q$1, Q$1,"rg:None")</f>
        <v>rg:None</v>
      </c>
      <c r="R64" s="35" t="str">
        <f>IF(Table2[[#This Row],[!Type]]=R$1, R$1,"rg:None")</f>
        <v>rg:None</v>
      </c>
      <c r="S64" s="35" t="str">
        <f>IF(Table2[[#This Row],[!Type]]=S$1, S$1,"rg:None")</f>
        <v>rg:None</v>
      </c>
      <c r="T64" s="38" t="str">
        <f>IF(LEN(Table2[[#This Row],[!Length]]) &gt; 0, Table2[[#This Row],[!Length]], "rg:None")</f>
        <v>rg:None</v>
      </c>
      <c r="U64" s="38" t="str">
        <f>IF(LEN(Table2[[#This Row],[!Name]]) &gt; 0, Table2[[#This Row],[!Name]], "rg:None")</f>
        <v>endDate</v>
      </c>
      <c r="V64" s="38" t="str">
        <f>IF(LEN(Table2[[#This Row],[!Description]]) &gt; 0, Table2[[#This Row],[!Description]], "rg:None")</f>
        <v>The date after which the Verifiable Organization Claim type will no longer be used.</v>
      </c>
      <c r="W64" s="38" t="str">
        <f>IF(LEN(Table2[[#This Row],[!FK]])&gt;0,Table2[[#This Row],[!FK]],"rg:None")</f>
        <v>rg:None</v>
      </c>
      <c r="X64" s="38" t="str">
        <f>IF(LEN(concatif2(A:A,Table2[[#This Row],[!Table]],G:G,"Y",D:D,",")) &gt; 0,"rg:[ { 'req' : '"&amp;concatif2(A:A,Table2[[#This Row],[!Table]],G:G,"Y",D:D,"' }, { 'req': '")&amp;"'} ]","rg:[]")</f>
        <v>rg:[ { 'req' : 'id' }, { 'req': 'claimType' }, { 'req': 'issuerServiceId' }, { 'req': 'issuerURL' }, { 'req': 'effectiveDate'} ]</v>
      </c>
      <c r="Y64" s="38" t="str">
        <f>IF(LEN(Table2[[#This Row],[!Unique]])&gt;0,IF(Table2[[#This Row],[!Type]] = "id", "rg:None","rg:True"),"rg:None")</f>
        <v>rg:None</v>
      </c>
    </row>
    <row r="65" spans="1:25" s="35" customFormat="1" ht="28.8" customHeight="1" x14ac:dyDescent="0.3">
      <c r="A65" s="34" t="s">
        <v>112</v>
      </c>
      <c r="B65" s="33" t="s">
        <v>3</v>
      </c>
      <c r="C65" s="33"/>
      <c r="D65" s="34" t="s">
        <v>112</v>
      </c>
      <c r="E65" s="39" t="s">
        <v>103</v>
      </c>
      <c r="F65" s="34"/>
      <c r="G65" s="37"/>
      <c r="H65" s="37"/>
      <c r="I65" s="35" t="str">
        <f t="shared" si="8"/>
        <v>Defs</v>
      </c>
      <c r="J65" s="38" t="str">
        <f>IF(Table2[[#This Row],[!Type]]=J$1, J$1,"rg:None")</f>
        <v>rg:None</v>
      </c>
      <c r="K65" s="38" t="str">
        <f>IF(Table2[[#This Row],[!Type]]=K$1, K$1,"rg:None")</f>
        <v>rg:None</v>
      </c>
      <c r="L65" s="38" t="str">
        <f>IF(Table2[[#This Row],[!Type]]=L$1, L$1,"rg:None")</f>
        <v>rg:None</v>
      </c>
      <c r="M65" s="38" t="str">
        <f>IF(Table2[[#This Row],[!Type]]=M$1, M$1,"rg:None")</f>
        <v>rg:None</v>
      </c>
      <c r="N65" s="38" t="str">
        <f>IF(Table2[[#This Row],[!Type]]=N$1, N$1,"rg:None")</f>
        <v>rg:None</v>
      </c>
      <c r="O65" s="38" t="str">
        <f>IF(Table2[[#This Row],[!Type]]=O$1, O$1,"rg:None")</f>
        <v>rg:None</v>
      </c>
      <c r="P65" s="35" t="str">
        <f>IF(Table2[[#This Row],[!Type]]=P$1, P$1,"rg:None")</f>
        <v>rg:None</v>
      </c>
      <c r="Q65" s="35" t="str">
        <f>IF(Table2[[#This Row],[!Type]]=Q$1, Q$1,"rg:None")</f>
        <v>rg:None</v>
      </c>
      <c r="R65" s="35" t="str">
        <f>IF(Table2[[#This Row],[!Type]]=R$1, R$1,"rg:None")</f>
        <v>rg:None</v>
      </c>
      <c r="S65" s="35" t="str">
        <f>IF(Table2[[#This Row],[!Type]]=S$1, S$1,"rg:None")</f>
        <v>table</v>
      </c>
      <c r="T65" s="38" t="str">
        <f>IF(LEN(Table2[[#This Row],[!Length]]) &gt; 0, Table2[[#This Row],[!Length]], "rg:None")</f>
        <v>rg:None</v>
      </c>
      <c r="U65" s="38" t="str">
        <f>IF(LEN(Table2[[#This Row],[!Name]]) &gt; 0, Table2[[#This Row],[!Name]], "rg:None")</f>
        <v>InactiveClaimReason</v>
      </c>
      <c r="V65" s="38" t="str">
        <f>IF(LEN(Table2[[#This Row],[!Description]]) &gt; 0, Table2[[#This Row],[!Description]], "rg:None")</f>
        <v xml:space="preserve">A list of the possible reasons why a Claim might be inactive. </v>
      </c>
      <c r="W65" s="38" t="str">
        <f>IF(LEN(Table2[[#This Row],[!FK]])&gt;0,Table2[[#This Row],[!FK]],"rg:None")</f>
        <v>rg:None</v>
      </c>
      <c r="X65" s="38" t="str">
        <f>IF(LEN(concatif2(A:A,Table2[[#This Row],[!Table]],G:G,"Y",D:D,",")) &gt; 0,"rg:[ { 'req' : '"&amp;concatif2(A:A,Table2[[#This Row],[!Table]],G:G,"Y",D:D,"' }, { 'req': '")&amp;"'} ]","rg:[]")</f>
        <v>rg:[ { 'req' : 'id' }, { 'req': 'effectiveDate'} ]</v>
      </c>
      <c r="Y65" s="38" t="str">
        <f>IF(LEN(Table2[[#This Row],[!Unique]])&gt;0,IF(Table2[[#This Row],[!Type]] = "id", "rg:None","rg:True"),"rg:None")</f>
        <v>rg:None</v>
      </c>
    </row>
    <row r="66" spans="1:25" s="35" customFormat="1" ht="28.8" x14ac:dyDescent="0.3">
      <c r="A66" s="34" t="s">
        <v>112</v>
      </c>
      <c r="B66" s="33" t="s">
        <v>5</v>
      </c>
      <c r="C66" s="33"/>
      <c r="D66" s="33" t="s">
        <v>5</v>
      </c>
      <c r="E66" s="39" t="s">
        <v>107</v>
      </c>
      <c r="F66" s="34"/>
      <c r="G66" s="37" t="s">
        <v>14</v>
      </c>
      <c r="H66" s="37" t="s">
        <v>14</v>
      </c>
      <c r="I66" s="35" t="str">
        <f t="shared" si="8"/>
        <v>Defs</v>
      </c>
      <c r="J66" s="38" t="str">
        <f>IF(Table2[[#This Row],[!Type]]=J$1, J$1,"rg:None")</f>
        <v>rg:None</v>
      </c>
      <c r="K66" s="38" t="str">
        <f>IF(Table2[[#This Row],[!Type]]=K$1, K$1,"rg:None")</f>
        <v>rg:None</v>
      </c>
      <c r="L66" s="38" t="str">
        <f>IF(Table2[[#This Row],[!Type]]=L$1, L$1,"rg:None")</f>
        <v>rg:None</v>
      </c>
      <c r="M66" s="38" t="str">
        <f>IF(Table2[[#This Row],[!Type]]=M$1, M$1,"rg:None")</f>
        <v>id</v>
      </c>
      <c r="N66" s="38" t="str">
        <f>IF(Table2[[#This Row],[!Type]]=N$1, N$1,"rg:None")</f>
        <v>rg:None</v>
      </c>
      <c r="O66" s="38" t="str">
        <f>IF(Table2[[#This Row],[!Type]]=O$1, O$1,"rg:None")</f>
        <v>rg:None</v>
      </c>
      <c r="P66" s="35" t="str">
        <f>IF(Table2[[#This Row],[!Type]]=P$1, P$1,"rg:None")</f>
        <v>rg:None</v>
      </c>
      <c r="Q66" s="35" t="str">
        <f>IF(Table2[[#This Row],[!Type]]=Q$1, Q$1,"rg:None")</f>
        <v>rg:None</v>
      </c>
      <c r="R66" s="35" t="str">
        <f>IF(Table2[[#This Row],[!Type]]=R$1, R$1,"rg:None")</f>
        <v>rg:None</v>
      </c>
      <c r="S66" s="35" t="str">
        <f>IF(Table2[[#This Row],[!Type]]=S$1, S$1,"rg:None")</f>
        <v>rg:None</v>
      </c>
      <c r="T66" s="38" t="str">
        <f>IF(LEN(Table2[[#This Row],[!Length]]) &gt; 0, Table2[[#This Row],[!Length]], "rg:None")</f>
        <v>rg:None</v>
      </c>
      <c r="U66" s="38" t="str">
        <f>IF(LEN(Table2[[#This Row],[!Name]]) &gt; 0, Table2[[#This Row],[!Name]], "rg:None")</f>
        <v>id</v>
      </c>
      <c r="V66" s="38" t="str">
        <f>IF(LEN(Table2[[#This Row],[!Description]]) &gt; 0, Table2[[#This Row],[!Description]], "rg:None")</f>
        <v>A system-generated unique identifier for an Inactive Claim Reason.</v>
      </c>
      <c r="W66" s="38" t="str">
        <f>IF(LEN(Table2[[#This Row],[!FK]])&gt;0,Table2[[#This Row],[!FK]],"rg:None")</f>
        <v>rg:None</v>
      </c>
      <c r="X66" s="38" t="str">
        <f>IF(LEN(concatif2(A:A,Table2[[#This Row],[!Table]],G:G,"Y",D:D,",")) &gt; 0,"rg:[ { 'req' : '"&amp;concatif2(A:A,Table2[[#This Row],[!Table]],G:G,"Y",D:D,"' }, { 'req': '")&amp;"'} ]","rg:[]")</f>
        <v>rg:[ { 'req' : 'id' }, { 'req': 'effectiveDate'} ]</v>
      </c>
      <c r="Y66" s="38" t="str">
        <f>IF(LEN(Table2[[#This Row],[!Unique]])&gt;0,IF(Table2[[#This Row],[!Type]] = "id", "rg:None","rg:True"),"rg:None")</f>
        <v>rg:None</v>
      </c>
    </row>
    <row r="67" spans="1:25" s="35" customFormat="1" ht="28.8" customHeight="1" x14ac:dyDescent="0.3">
      <c r="A67" s="34" t="s">
        <v>112</v>
      </c>
      <c r="B67" s="33" t="s">
        <v>6</v>
      </c>
      <c r="C67" s="33"/>
      <c r="D67" s="33" t="s">
        <v>104</v>
      </c>
      <c r="E67" s="39" t="s">
        <v>108</v>
      </c>
      <c r="F67" s="34"/>
      <c r="G67" s="37"/>
      <c r="H67" s="37"/>
      <c r="I67" s="35" t="str">
        <f t="shared" si="8"/>
        <v>Defs</v>
      </c>
      <c r="J67" s="38" t="str">
        <f>IF(Table2[[#This Row],[!Type]]=J$1, J$1,"rg:None")</f>
        <v>rg:None</v>
      </c>
      <c r="K67" s="38" t="str">
        <f>IF(Table2[[#This Row],[!Type]]=K$1, K$1,"rg:None")</f>
        <v>rg:None</v>
      </c>
      <c r="L67" s="38" t="str">
        <f>IF(Table2[[#This Row],[!Type]]=L$1, L$1,"rg:None")</f>
        <v>rg:None</v>
      </c>
      <c r="M67" s="38" t="str">
        <f>IF(Table2[[#This Row],[!Type]]=M$1, M$1,"rg:None")</f>
        <v>rg:None</v>
      </c>
      <c r="N67" s="38" t="str">
        <f>IF(Table2[[#This Row],[!Type]]=N$1, N$1,"rg:None")</f>
        <v>rg:None</v>
      </c>
      <c r="O67" s="38" t="str">
        <f>IF(Table2[[#This Row],[!Type]]=O$1, O$1,"rg:None")</f>
        <v>rg:None</v>
      </c>
      <c r="P67" s="35" t="str">
        <f>IF(Table2[[#This Row],[!Type]]=P$1, P$1,"rg:None")</f>
        <v>rg:None</v>
      </c>
      <c r="Q67" s="35" t="str">
        <f>IF(Table2[[#This Row],[!Type]]=Q$1, Q$1,"rg:None")</f>
        <v>rg:None</v>
      </c>
      <c r="R67" s="35" t="str">
        <f>IF(Table2[[#This Row],[!Type]]=R$1, R$1,"rg:None")</f>
        <v>string</v>
      </c>
      <c r="S67" s="35" t="str">
        <f>IF(Table2[[#This Row],[!Type]]=S$1, S$1,"rg:None")</f>
        <v>rg:None</v>
      </c>
      <c r="T67" s="38" t="str">
        <f>IF(LEN(Table2[[#This Row],[!Length]]) &gt; 0, Table2[[#This Row],[!Length]], "rg:None")</f>
        <v>rg:None</v>
      </c>
      <c r="U67" s="38" t="str">
        <f>IF(LEN(Table2[[#This Row],[!Name]]) &gt; 0, Table2[[#This Row],[!Name]], "rg:None")</f>
        <v>shortReason</v>
      </c>
      <c r="V67" s="38" t="str">
        <f>IF(LEN(Table2[[#This Row],[!Description]]) &gt; 0, Table2[[#This Row],[!Description]], "rg:None")</f>
        <v>A short word/phrase for why a Claim is inactive.</v>
      </c>
      <c r="W67" s="38" t="str">
        <f>IF(LEN(Table2[[#This Row],[!FK]])&gt;0,Table2[[#This Row],[!FK]],"rg:None")</f>
        <v>rg:None</v>
      </c>
      <c r="X67" s="38" t="str">
        <f>IF(LEN(concatif2(A:A,Table2[[#This Row],[!Table]],G:G,"Y",D:D,",")) &gt; 0,"rg:[ { 'req' : '"&amp;concatif2(A:A,Table2[[#This Row],[!Table]],G:G,"Y",D:D,"' }, { 'req': '")&amp;"'} ]","rg:[]")</f>
        <v>rg:[ { 'req' : 'id' }, { 'req': 'effectiveDate'} ]</v>
      </c>
      <c r="Y67" s="38" t="str">
        <f>IF(LEN(Table2[[#This Row],[!Unique]])&gt;0,IF(Table2[[#This Row],[!Type]] = "id", "rg:None","rg:True"),"rg:None")</f>
        <v>rg:None</v>
      </c>
    </row>
    <row r="68" spans="1:25" s="35" customFormat="1" ht="28.8" customHeight="1" x14ac:dyDescent="0.3">
      <c r="A68" s="34" t="s">
        <v>112</v>
      </c>
      <c r="B68" s="33" t="s">
        <v>6</v>
      </c>
      <c r="C68" s="33"/>
      <c r="D68" s="33" t="s">
        <v>55</v>
      </c>
      <c r="E68" s="39" t="s">
        <v>109</v>
      </c>
      <c r="F68" s="34"/>
      <c r="G68" s="37"/>
      <c r="H68" s="37"/>
      <c r="I68" s="35" t="str">
        <f t="shared" si="8"/>
        <v>Defs</v>
      </c>
      <c r="J68" s="38" t="str">
        <f>IF(Table2[[#This Row],[!Type]]=J$1, J$1,"rg:None")</f>
        <v>rg:None</v>
      </c>
      <c r="K68" s="38" t="str">
        <f>IF(Table2[[#This Row],[!Type]]=K$1, K$1,"rg:None")</f>
        <v>rg:None</v>
      </c>
      <c r="L68" s="38" t="str">
        <f>IF(Table2[[#This Row],[!Type]]=L$1, L$1,"rg:None")</f>
        <v>rg:None</v>
      </c>
      <c r="M68" s="38" t="str">
        <f>IF(Table2[[#This Row],[!Type]]=M$1, M$1,"rg:None")</f>
        <v>rg:None</v>
      </c>
      <c r="N68" s="38" t="str">
        <f>IF(Table2[[#This Row],[!Type]]=N$1, N$1,"rg:None")</f>
        <v>rg:None</v>
      </c>
      <c r="O68" s="38" t="str">
        <f>IF(Table2[[#This Row],[!Type]]=O$1, O$1,"rg:None")</f>
        <v>rg:None</v>
      </c>
      <c r="P68" s="35" t="str">
        <f>IF(Table2[[#This Row],[!Type]]=P$1, P$1,"rg:None")</f>
        <v>rg:None</v>
      </c>
      <c r="Q68" s="35" t="str">
        <f>IF(Table2[[#This Row],[!Type]]=Q$1, Q$1,"rg:None")</f>
        <v>rg:None</v>
      </c>
      <c r="R68" s="35" t="str">
        <f>IF(Table2[[#This Row],[!Type]]=R$1, R$1,"rg:None")</f>
        <v>string</v>
      </c>
      <c r="S68" s="35" t="str">
        <f>IF(Table2[[#This Row],[!Type]]=S$1, S$1,"rg:None")</f>
        <v>rg:None</v>
      </c>
      <c r="T68" s="38" t="str">
        <f>IF(LEN(Table2[[#This Row],[!Length]]) &gt; 0, Table2[[#This Row],[!Length]], "rg:None")</f>
        <v>rg:None</v>
      </c>
      <c r="U68" s="38" t="str">
        <f>IF(LEN(Table2[[#This Row],[!Name]]) &gt; 0, Table2[[#This Row],[!Name]], "rg:None")</f>
        <v>reason</v>
      </c>
      <c r="V68" s="38" t="str">
        <f>IF(LEN(Table2[[#This Row],[!Description]]) &gt; 0, Table2[[#This Row],[!Description]], "rg:None")</f>
        <v>A full description for why a Claim is inactive.</v>
      </c>
      <c r="W68" s="38" t="str">
        <f>IF(LEN(Table2[[#This Row],[!FK]])&gt;0,Table2[[#This Row],[!FK]],"rg:None")</f>
        <v>rg:None</v>
      </c>
      <c r="X68" s="38" t="str">
        <f>IF(LEN(concatif2(A:A,Table2[[#This Row],[!Table]],G:G,"Y",D:D,",")) &gt; 0,"rg:[ { 'req' : '"&amp;concatif2(A:A,Table2[[#This Row],[!Table]],G:G,"Y",D:D,"' }, { 'req': '")&amp;"'} ]","rg:[]")</f>
        <v>rg:[ { 'req' : 'id' }, { 'req': 'effectiveDate'} ]</v>
      </c>
      <c r="Y68" s="38" t="str">
        <f>IF(LEN(Table2[[#This Row],[!Unique]])&gt;0,IF(Table2[[#This Row],[!Type]] = "id", "rg:None","rg:True"),"rg:None")</f>
        <v>rg:None</v>
      </c>
    </row>
    <row r="69" spans="1:25" s="35" customFormat="1" ht="28.8" customHeight="1" x14ac:dyDescent="0.3">
      <c r="A69" s="34" t="s">
        <v>112</v>
      </c>
      <c r="B69" s="33" t="s">
        <v>9</v>
      </c>
      <c r="C69" s="33"/>
      <c r="D69" s="33" t="s">
        <v>52</v>
      </c>
      <c r="E69" s="39" t="s">
        <v>163</v>
      </c>
      <c r="F69" s="34"/>
      <c r="G69" s="37" t="s">
        <v>14</v>
      </c>
      <c r="H69" s="37"/>
      <c r="I69" s="35" t="str">
        <f t="shared" si="8"/>
        <v>Defs</v>
      </c>
      <c r="J69" s="38" t="str">
        <f>IF(Table2[[#This Row],[!Type]]=J$1, J$1,"rg:None")</f>
        <v>rg:None</v>
      </c>
      <c r="K69" s="38" t="str">
        <f>IF(Table2[[#This Row],[!Type]]=K$1, K$1,"rg:None")</f>
        <v>rg:None</v>
      </c>
      <c r="L69" s="38" t="str">
        <f>IF(Table2[[#This Row],[!Type]]=L$1, L$1,"rg:None")</f>
        <v>datetime</v>
      </c>
      <c r="M69" s="38" t="str">
        <f>IF(Table2[[#This Row],[!Type]]=M$1, M$1,"rg:None")</f>
        <v>rg:None</v>
      </c>
      <c r="N69" s="38" t="str">
        <f>IF(Table2[[#This Row],[!Type]]=N$1, N$1,"rg:None")</f>
        <v>rg:None</v>
      </c>
      <c r="O69" s="38" t="str">
        <f>IF(Table2[[#This Row],[!Type]]=O$1, O$1,"rg:None")</f>
        <v>rg:None</v>
      </c>
      <c r="P69" s="35" t="str">
        <f>IF(Table2[[#This Row],[!Type]]=P$1, P$1,"rg:None")</f>
        <v>rg:None</v>
      </c>
      <c r="Q69" s="35" t="str">
        <f>IF(Table2[[#This Row],[!Type]]=Q$1, Q$1,"rg:None")</f>
        <v>rg:None</v>
      </c>
      <c r="R69" s="35" t="str">
        <f>IF(Table2[[#This Row],[!Type]]=R$1, R$1,"rg:None")</f>
        <v>rg:None</v>
      </c>
      <c r="S69" s="35" t="str">
        <f>IF(Table2[[#This Row],[!Type]]=S$1, S$1,"rg:None")</f>
        <v>rg:None</v>
      </c>
      <c r="T69" s="38" t="str">
        <f>IF(LEN(Table2[[#This Row],[!Length]]) &gt; 0, Table2[[#This Row],[!Length]], "rg:None")</f>
        <v>rg:None</v>
      </c>
      <c r="U69" s="38" t="str">
        <f>IF(LEN(Table2[[#This Row],[!Name]]) &gt; 0, Table2[[#This Row],[!Name]], "rg:None")</f>
        <v>effectiveDate</v>
      </c>
      <c r="V69" s="38" t="str">
        <f>IF(LEN(Table2[[#This Row],[!Description]]) &gt; 0, Table2[[#This Row],[!Description]], "rg:None")</f>
        <v>The date upon which the Inactive Claim reason was activated for use.</v>
      </c>
      <c r="W69" s="38" t="str">
        <f>IF(LEN(Table2[[#This Row],[!FK]])&gt;0,Table2[[#This Row],[!FK]],"rg:None")</f>
        <v>rg:None</v>
      </c>
      <c r="X69" s="38" t="str">
        <f>IF(LEN(concatif2(A:A,Table2[[#This Row],[!Table]],G:G,"Y",D:D,",")) &gt; 0,"rg:[ { 'req' : '"&amp;concatif2(A:A,Table2[[#This Row],[!Table]],G:G,"Y",D:D,"' }, { 'req': '")&amp;"'} ]","rg:[]")</f>
        <v>rg:[ { 'req' : 'id' }, { 'req': 'effectiveDate'} ]</v>
      </c>
      <c r="Y69" s="38" t="str">
        <f>IF(LEN(Table2[[#This Row],[!Unique]])&gt;0,IF(Table2[[#This Row],[!Type]] = "id", "rg:None","rg:True"),"rg:None")</f>
        <v>rg:None</v>
      </c>
    </row>
    <row r="70" spans="1:25" s="35" customFormat="1" ht="28.8" customHeight="1" x14ac:dyDescent="0.3">
      <c r="A70" s="34" t="s">
        <v>112</v>
      </c>
      <c r="B70" s="33" t="s">
        <v>9</v>
      </c>
      <c r="C70" s="33"/>
      <c r="D70" s="33" t="s">
        <v>53</v>
      </c>
      <c r="E70" s="39" t="s">
        <v>110</v>
      </c>
      <c r="F70" s="34"/>
      <c r="G70" s="37"/>
      <c r="H70" s="37"/>
      <c r="I70" s="35" t="str">
        <f t="shared" si="8"/>
        <v>Defs</v>
      </c>
      <c r="J70" s="38" t="str">
        <f>IF(Table2[[#This Row],[!Type]]=J$1, J$1,"rg:None")</f>
        <v>rg:None</v>
      </c>
      <c r="K70" s="38" t="str">
        <f>IF(Table2[[#This Row],[!Type]]=K$1, K$1,"rg:None")</f>
        <v>rg:None</v>
      </c>
      <c r="L70" s="38" t="str">
        <f>IF(Table2[[#This Row],[!Type]]=L$1, L$1,"rg:None")</f>
        <v>datetime</v>
      </c>
      <c r="M70" s="38" t="str">
        <f>IF(Table2[[#This Row],[!Type]]=M$1, M$1,"rg:None")</f>
        <v>rg:None</v>
      </c>
      <c r="N70" s="38" t="str">
        <f>IF(Table2[[#This Row],[!Type]]=N$1, N$1,"rg:None")</f>
        <v>rg:None</v>
      </c>
      <c r="O70" s="38" t="str">
        <f>IF(Table2[[#This Row],[!Type]]=O$1, O$1,"rg:None")</f>
        <v>rg:None</v>
      </c>
      <c r="P70" s="35" t="str">
        <f>IF(Table2[[#This Row],[!Type]]=P$1, P$1,"rg:None")</f>
        <v>rg:None</v>
      </c>
      <c r="Q70" s="35" t="str">
        <f>IF(Table2[[#This Row],[!Type]]=Q$1, Q$1,"rg:None")</f>
        <v>rg:None</v>
      </c>
      <c r="R70" s="35" t="str">
        <f>IF(Table2[[#This Row],[!Type]]=R$1, R$1,"rg:None")</f>
        <v>rg:None</v>
      </c>
      <c r="S70" s="35" t="str">
        <f>IF(Table2[[#This Row],[!Type]]=S$1, S$1,"rg:None")</f>
        <v>rg:None</v>
      </c>
      <c r="T70" s="38" t="str">
        <f>IF(LEN(Table2[[#This Row],[!Length]]) &gt; 0, Table2[[#This Row],[!Length]], "rg:None")</f>
        <v>rg:None</v>
      </c>
      <c r="U70" s="38" t="str">
        <f>IF(LEN(Table2[[#This Row],[!Name]]) &gt; 0, Table2[[#This Row],[!Name]], "rg:None")</f>
        <v>endDate</v>
      </c>
      <c r="V70" s="38" t="str">
        <f>IF(LEN(Table2[[#This Row],[!Description]]) &gt; 0, Table2[[#This Row],[!Description]], "rg:None")</f>
        <v>The date after which the Inactive Claim reason will no longer be used.</v>
      </c>
      <c r="W70" s="38" t="str">
        <f>IF(LEN(Table2[[#This Row],[!FK]])&gt;0,Table2[[#This Row],[!FK]],"rg:None")</f>
        <v>rg:None</v>
      </c>
      <c r="X70" s="38" t="str">
        <f>IF(LEN(concatif2(A:A,Table2[[#This Row],[!Table]],G:G,"Y",D:D,",")) &gt; 0,"rg:[ { 'req' : '"&amp;concatif2(A:A,Table2[[#This Row],[!Table]],G:G,"Y",D:D,"' }, { 'req': '")&amp;"'} ]","rg:[]")</f>
        <v>rg:[ { 'req' : 'id' }, { 'req': 'effectiveDate'} ]</v>
      </c>
      <c r="Y70" s="38" t="str">
        <f>IF(LEN(Table2[[#This Row],[!Unique]])&gt;0,IF(Table2[[#This Row],[!Type]] = "id", "rg:None","rg:True"),"rg:None")</f>
        <v>rg:None</v>
      </c>
    </row>
    <row r="71" spans="1:25" s="35" customFormat="1" ht="28.8" x14ac:dyDescent="0.3">
      <c r="A71" s="34" t="s">
        <v>112</v>
      </c>
      <c r="B71" s="33" t="s">
        <v>10</v>
      </c>
      <c r="C71" s="33"/>
      <c r="D71" s="33" t="s">
        <v>54</v>
      </c>
      <c r="E71" s="39" t="s">
        <v>111</v>
      </c>
      <c r="F71" s="34"/>
      <c r="G71" s="37"/>
      <c r="H71" s="37"/>
      <c r="I71" s="35" t="str">
        <f>IF(LEN(A71) &gt; 0,"Defs","-")</f>
        <v>Defs</v>
      </c>
      <c r="J71" s="38" t="str">
        <f>IF(Table2[[#This Row],[!Type]]=J$1, J$1,"rg:None")</f>
        <v>rg:None</v>
      </c>
      <c r="K71" s="38" t="str">
        <f>IF(Table2[[#This Row],[!Type]]=K$1, K$1,"rg:None")</f>
        <v>rg:None</v>
      </c>
      <c r="L71" s="38" t="str">
        <f>IF(Table2[[#This Row],[!Type]]=L$1, L$1,"rg:None")</f>
        <v>rg:None</v>
      </c>
      <c r="M71" s="38" t="str">
        <f>IF(Table2[[#This Row],[!Type]]=M$1, M$1,"rg:None")</f>
        <v>rg:None</v>
      </c>
      <c r="N71" s="38" t="str">
        <f>IF(Table2[[#This Row],[!Type]]=N$1, N$1,"rg:None")</f>
        <v>integer</v>
      </c>
      <c r="O71" s="38" t="str">
        <f>IF(Table2[[#This Row],[!Type]]=O$1, O$1,"rg:None")</f>
        <v>rg:None</v>
      </c>
      <c r="P71" s="35" t="str">
        <f>IF(Table2[[#This Row],[!Type]]=P$1, P$1,"rg:None")</f>
        <v>rg:None</v>
      </c>
      <c r="Q71" s="35" t="str">
        <f>IF(Table2[[#This Row],[!Type]]=Q$1, Q$1,"rg:None")</f>
        <v>rg:None</v>
      </c>
      <c r="R71" s="35" t="str">
        <f>IF(Table2[[#This Row],[!Type]]=R$1, R$1,"rg:None")</f>
        <v>rg:None</v>
      </c>
      <c r="S71" s="35" t="str">
        <f>IF(Table2[[#This Row],[!Type]]=S$1, S$1,"rg:None")</f>
        <v>rg:None</v>
      </c>
      <c r="T71" s="38" t="str">
        <f>IF(LEN(Table2[[#This Row],[!Length]]) &gt; 0, Table2[[#This Row],[!Length]], "rg:None")</f>
        <v>rg:None</v>
      </c>
      <c r="U71" s="38" t="str">
        <f>IF(LEN(Table2[[#This Row],[!Name]]) &gt; 0, Table2[[#This Row],[!Name]], "rg:None")</f>
        <v>displayOrder</v>
      </c>
      <c r="V71" s="38" t="str">
        <f>IF(LEN(Table2[[#This Row],[!Description]]) &gt; 0, Table2[[#This Row],[!Description]], "rg:None")</f>
        <v>The order of display Inactive Claim reason. In general, the order will be alpha.</v>
      </c>
      <c r="W71" s="38" t="str">
        <f>IF(LEN(Table2[[#This Row],[!FK]])&gt;0,Table2[[#This Row],[!FK]],"rg:None")</f>
        <v>rg:None</v>
      </c>
      <c r="X71" s="38" t="str">
        <f>IF(LEN(concatif2(A:A,Table2[[#This Row],[!Table]],G:G,"Y",D:D,",")) &gt; 0,"rg:[ { 'req' : '"&amp;concatif2(A:A,Table2[[#This Row],[!Table]],G:G,"Y",D:D,"' }, { 'req': '")&amp;"'} ]","rg:[]")</f>
        <v>rg:[ { 'req' : 'id' }, { 'req': 'effectiveDate'} ]</v>
      </c>
      <c r="Y71" s="38" t="str">
        <f>IF(LEN(Table2[[#This Row],[!Unique]])&gt;0,IF(Table2[[#This Row],[!Type]] = "id", "rg:None","rg:True"),"rg:None")</f>
        <v>rg:None</v>
      </c>
    </row>
    <row r="72" spans="1:25" s="35" customFormat="1" ht="28.8" customHeight="1" x14ac:dyDescent="0.3">
      <c r="A72" s="33" t="s">
        <v>113</v>
      </c>
      <c r="B72" s="33" t="s">
        <v>3</v>
      </c>
      <c r="C72" s="33"/>
      <c r="D72" s="33" t="s">
        <v>113</v>
      </c>
      <c r="E72" s="39" t="s">
        <v>206</v>
      </c>
      <c r="F72" s="34"/>
      <c r="G72" s="37"/>
      <c r="H72" s="37"/>
      <c r="I72" s="35" t="str">
        <f t="shared" si="8"/>
        <v>Defs</v>
      </c>
      <c r="J72" s="38" t="str">
        <f>IF(Table2[[#This Row],[!Type]]=J$1, J$1,"rg:None")</f>
        <v>rg:None</v>
      </c>
      <c r="K72" s="38" t="str">
        <f>IF(Table2[[#This Row],[!Type]]=K$1, K$1,"rg:None")</f>
        <v>rg:None</v>
      </c>
      <c r="L72" s="38" t="str">
        <f>IF(Table2[[#This Row],[!Type]]=L$1, L$1,"rg:None")</f>
        <v>rg:None</v>
      </c>
      <c r="M72" s="38" t="str">
        <f>IF(Table2[[#This Row],[!Type]]=M$1, M$1,"rg:None")</f>
        <v>rg:None</v>
      </c>
      <c r="N72" s="38" t="str">
        <f>IF(Table2[[#This Row],[!Type]]=N$1, N$1,"rg:None")</f>
        <v>rg:None</v>
      </c>
      <c r="O72" s="38" t="str">
        <f>IF(Table2[[#This Row],[!Type]]=O$1, O$1,"rg:None")</f>
        <v>rg:None</v>
      </c>
      <c r="P72" s="35" t="str">
        <f>IF(Table2[[#This Row],[!Type]]=P$1, P$1,"rg:None")</f>
        <v>rg:None</v>
      </c>
      <c r="Q72" s="35" t="str">
        <f>IF(Table2[[#This Row],[!Type]]=Q$1, Q$1,"rg:None")</f>
        <v>rg:None</v>
      </c>
      <c r="R72" s="35" t="str">
        <f>IF(Table2[[#This Row],[!Type]]=R$1, R$1,"rg:None")</f>
        <v>rg:None</v>
      </c>
      <c r="S72" s="35" t="str">
        <f>IF(Table2[[#This Row],[!Type]]=S$1, S$1,"rg:None")</f>
        <v>table</v>
      </c>
      <c r="T72" s="38" t="str">
        <f>IF(LEN(Table2[[#This Row],[!Length]]) &gt; 0, Table2[[#This Row],[!Length]], "rg:None")</f>
        <v>rg:None</v>
      </c>
      <c r="U72" s="38" t="str">
        <f>IF(LEN(Table2[[#This Row],[!Name]]) &gt; 0, Table2[[#This Row],[!Name]], "rg:None")</f>
        <v>IssuerService</v>
      </c>
      <c r="V72" s="38" t="str">
        <f>IF(LEN(Table2[[#This Row],[!Description]]) &gt; 0, Table2[[#This Row],[!Description]], "rg:None")</f>
        <v>The list of Organizations that have issued claims to Verifiable Organizations that are stored in this repository.</v>
      </c>
      <c r="W72" s="38" t="str">
        <f>IF(LEN(Table2[[#This Row],[!FK]])&gt;0,Table2[[#This Row],[!FK]],"rg:None")</f>
        <v>rg:None</v>
      </c>
      <c r="X72" s="38" t="str">
        <f>IF(LEN(concatif2(A:A,Table2[[#This Row],[!Table]],G:G,"Y",D:D,",")) &gt; 0,"rg:[ { 'req' : '"&amp;concatif2(A:A,Table2[[#This Row],[!Table]],G:G,"Y",D:D,"' }, { 'req': '")&amp;"'} ]","rg:[]")</f>
        <v>rg:[ { 'req' : 'id' }, { 'req': 'name' }, { 'req': 'issuerOrgTLA' }, { 'req': 'DID' }, { 'req': 'jurisdictionId' }, { 'req': 'effectiveDate'} ]</v>
      </c>
      <c r="Y72" s="38" t="str">
        <f>IF(LEN(Table2[[#This Row],[!Unique]])&gt;0,IF(Table2[[#This Row],[!Type]] = "id", "rg:None","rg:True"),"rg:None")</f>
        <v>rg:None</v>
      </c>
    </row>
    <row r="73" spans="1:25" s="35" customFormat="1" ht="28.8" customHeight="1" x14ac:dyDescent="0.3">
      <c r="A73" s="33" t="s">
        <v>113</v>
      </c>
      <c r="B73" s="33" t="s">
        <v>5</v>
      </c>
      <c r="C73" s="33"/>
      <c r="D73" s="33" t="s">
        <v>5</v>
      </c>
      <c r="E73" s="39" t="s">
        <v>91</v>
      </c>
      <c r="F73" s="34"/>
      <c r="G73" s="37" t="s">
        <v>14</v>
      </c>
      <c r="H73" s="37" t="s">
        <v>14</v>
      </c>
      <c r="I73" s="35" t="str">
        <f>IF(LEN(A73) &gt; 0,"Defs","-")</f>
        <v>Defs</v>
      </c>
      <c r="J73" s="38" t="str">
        <f>IF(Table2[[#This Row],[!Type]]=J$1, J$1,"rg:None")</f>
        <v>rg:None</v>
      </c>
      <c r="K73" s="38" t="str">
        <f>IF(Table2[[#This Row],[!Type]]=K$1, K$1,"rg:None")</f>
        <v>rg:None</v>
      </c>
      <c r="L73" s="38" t="str">
        <f>IF(Table2[[#This Row],[!Type]]=L$1, L$1,"rg:None")</f>
        <v>rg:None</v>
      </c>
      <c r="M73" s="38" t="str">
        <f>IF(Table2[[#This Row],[!Type]]=M$1, M$1,"rg:None")</f>
        <v>id</v>
      </c>
      <c r="N73" s="38" t="str">
        <f>IF(Table2[[#This Row],[!Type]]=N$1, N$1,"rg:None")</f>
        <v>rg:None</v>
      </c>
      <c r="O73" s="38" t="str">
        <f>IF(Table2[[#This Row],[!Type]]=O$1, O$1,"rg:None")</f>
        <v>rg:None</v>
      </c>
      <c r="P73" s="35" t="str">
        <f>IF(Table2[[#This Row],[!Type]]=P$1, P$1,"rg:None")</f>
        <v>rg:None</v>
      </c>
      <c r="Q73" s="35" t="str">
        <f>IF(Table2[[#This Row],[!Type]]=Q$1, Q$1,"rg:None")</f>
        <v>rg:None</v>
      </c>
      <c r="R73" s="35" t="str">
        <f>IF(Table2[[#This Row],[!Type]]=R$1, R$1,"rg:None")</f>
        <v>rg:None</v>
      </c>
      <c r="S73" s="35" t="str">
        <f>IF(Table2[[#This Row],[!Type]]=S$1, S$1,"rg:None")</f>
        <v>rg:None</v>
      </c>
      <c r="T73" s="38" t="str">
        <f>IF(LEN(Table2[[#This Row],[!Length]]) &gt; 0, Table2[[#This Row],[!Length]], "rg:None")</f>
        <v>rg:None</v>
      </c>
      <c r="U73" s="38" t="str">
        <f>IF(LEN(Table2[[#This Row],[!Name]]) &gt; 0, Table2[[#This Row],[!Name]], "rg:None")</f>
        <v>id</v>
      </c>
      <c r="V73" s="38" t="str">
        <f>IF(LEN(Table2[[#This Row],[!Description]]) &gt; 0, Table2[[#This Row],[!Description]], "rg:None")</f>
        <v>A system-generated unique identifier for a Issuer Org Type.</v>
      </c>
      <c r="W73" s="38" t="str">
        <f>IF(LEN(Table2[[#This Row],[!FK]])&gt;0,Table2[[#This Row],[!FK]],"rg:None")</f>
        <v>rg:None</v>
      </c>
      <c r="X73" s="38" t="str">
        <f>IF(LEN(concatif2(A:A,Table2[[#This Row],[!Table]],G:G,"Y",D:D,",")) &gt; 0,"rg:[ { 'req' : '"&amp;concatif2(A:A,Table2[[#This Row],[!Table]],G:G,"Y",D:D,"' }, { 'req': '")&amp;"'} ]","rg:[]")</f>
        <v>rg:[ { 'req' : 'id' }, { 'req': 'name' }, { 'req': 'issuerOrgTLA' }, { 'req': 'DID' }, { 'req': 'jurisdictionId' }, { 'req': 'effectiveDate'} ]</v>
      </c>
      <c r="Y73" s="38" t="str">
        <f>IF(LEN(Table2[[#This Row],[!Unique]])&gt;0,IF(Table2[[#This Row],[!Type]] = "id", "rg:None","rg:True"),"rg:None")</f>
        <v>rg:None</v>
      </c>
    </row>
    <row r="74" spans="1:25" s="35" customFormat="1" ht="57.45" customHeight="1" x14ac:dyDescent="0.3">
      <c r="A74" s="33" t="s">
        <v>113</v>
      </c>
      <c r="B74" s="33" t="s">
        <v>6</v>
      </c>
      <c r="C74" s="33"/>
      <c r="D74" s="33" t="s">
        <v>12</v>
      </c>
      <c r="E74" s="39" t="s">
        <v>89</v>
      </c>
      <c r="F74" s="34"/>
      <c r="G74" s="37" t="s">
        <v>14</v>
      </c>
      <c r="H74" s="37"/>
      <c r="I74" s="35" t="str">
        <f>IF(LEN(A74) &gt; 0,"Defs","-")</f>
        <v>Defs</v>
      </c>
      <c r="J74" s="38" t="str">
        <f>IF(Table2[[#This Row],[!Type]]=J$1, J$1,"rg:None")</f>
        <v>rg:None</v>
      </c>
      <c r="K74" s="38" t="str">
        <f>IF(Table2[[#This Row],[!Type]]=K$1, K$1,"rg:None")</f>
        <v>rg:None</v>
      </c>
      <c r="L74" s="38" t="str">
        <f>IF(Table2[[#This Row],[!Type]]=L$1, L$1,"rg:None")</f>
        <v>rg:None</v>
      </c>
      <c r="M74" s="38" t="str">
        <f>IF(Table2[[#This Row],[!Type]]=M$1, M$1,"rg:None")</f>
        <v>rg:None</v>
      </c>
      <c r="N74" s="38" t="str">
        <f>IF(Table2[[#This Row],[!Type]]=N$1, N$1,"rg:None")</f>
        <v>rg:None</v>
      </c>
      <c r="O74" s="38" t="str">
        <f>IF(Table2[[#This Row],[!Type]]=O$1, O$1,"rg:None")</f>
        <v>rg:None</v>
      </c>
      <c r="P74" s="35" t="str">
        <f>IF(Table2[[#This Row],[!Type]]=P$1, P$1,"rg:None")</f>
        <v>rg:None</v>
      </c>
      <c r="Q74" s="35" t="str">
        <f>IF(Table2[[#This Row],[!Type]]=Q$1, Q$1,"rg:None")</f>
        <v>rg:None</v>
      </c>
      <c r="R74" s="35" t="str">
        <f>IF(Table2[[#This Row],[!Type]]=R$1, R$1,"rg:None")</f>
        <v>string</v>
      </c>
      <c r="S74" s="35" t="str">
        <f>IF(Table2[[#This Row],[!Type]]=S$1, S$1,"rg:None")</f>
        <v>rg:None</v>
      </c>
      <c r="T74" s="38" t="str">
        <f>IF(LEN(Table2[[#This Row],[!Length]]) &gt; 0, Table2[[#This Row],[!Length]], "rg:None")</f>
        <v>rg:None</v>
      </c>
      <c r="U74" s="38" t="str">
        <f>IF(LEN(Table2[[#This Row],[!Name]]) &gt; 0, Table2[[#This Row],[!Name]], "rg:None")</f>
        <v>name</v>
      </c>
      <c r="V74" s="38" t="str">
        <f>IF(LEN(Table2[[#This Row],[!Description]]) &gt; 0, Table2[[#This Row],[!Description]], "rg:None")</f>
        <v>The name of the organization that issues claim.</v>
      </c>
      <c r="W74" s="38" t="str">
        <f>IF(LEN(Table2[[#This Row],[!FK]])&gt;0,Table2[[#This Row],[!FK]],"rg:None")</f>
        <v>rg:None</v>
      </c>
      <c r="X74" s="38" t="str">
        <f>IF(LEN(concatif2(A:A,Table2[[#This Row],[!Table]],G:G,"Y",D:D,",")) &gt; 0,"rg:[ { 'req' : '"&amp;concatif2(A:A,Table2[[#This Row],[!Table]],G:G,"Y",D:D,"' }, { 'req': '")&amp;"'} ]","rg:[]")</f>
        <v>rg:[ { 'req' : 'id' }, { 'req': 'name' }, { 'req': 'issuerOrgTLA' }, { 'req': 'DID' }, { 'req': 'jurisdictionId' }, { 'req': 'effectiveDate'} ]</v>
      </c>
      <c r="Y74" s="38" t="str">
        <f>IF(LEN(Table2[[#This Row],[!Unique]])&gt;0,IF(Table2[[#This Row],[!Type]] = "id", "rg:None","rg:True"),"rg:None")</f>
        <v>rg:None</v>
      </c>
    </row>
    <row r="75" spans="1:25" s="35" customFormat="1" ht="57.45" customHeight="1" x14ac:dyDescent="0.3">
      <c r="A75" s="33" t="s">
        <v>113</v>
      </c>
      <c r="B75" s="33" t="s">
        <v>6</v>
      </c>
      <c r="C75" s="33"/>
      <c r="D75" s="33" t="s">
        <v>92</v>
      </c>
      <c r="E75" s="39" t="s">
        <v>93</v>
      </c>
      <c r="F75" s="34"/>
      <c r="G75" s="37" t="s">
        <v>14</v>
      </c>
      <c r="H75" s="37"/>
      <c r="I75" s="35" t="str">
        <f>IF(LEN(A75) &gt; 0,"Defs","-")</f>
        <v>Defs</v>
      </c>
      <c r="J75" s="38" t="str">
        <f>IF(Table2[[#This Row],[!Type]]=J$1, J$1,"rg:None")</f>
        <v>rg:None</v>
      </c>
      <c r="K75" s="38" t="str">
        <f>IF(Table2[[#This Row],[!Type]]=K$1, K$1,"rg:None")</f>
        <v>rg:None</v>
      </c>
      <c r="L75" s="38" t="str">
        <f>IF(Table2[[#This Row],[!Type]]=L$1, L$1,"rg:None")</f>
        <v>rg:None</v>
      </c>
      <c r="M75" s="38" t="str">
        <f>IF(Table2[[#This Row],[!Type]]=M$1, M$1,"rg:None")</f>
        <v>rg:None</v>
      </c>
      <c r="N75" s="38" t="str">
        <f>IF(Table2[[#This Row],[!Type]]=N$1, N$1,"rg:None")</f>
        <v>rg:None</v>
      </c>
      <c r="O75" s="38" t="str">
        <f>IF(Table2[[#This Row],[!Type]]=O$1, O$1,"rg:None")</f>
        <v>rg:None</v>
      </c>
      <c r="P75" s="35" t="str">
        <f>IF(Table2[[#This Row],[!Type]]=P$1, P$1,"rg:None")</f>
        <v>rg:None</v>
      </c>
      <c r="Q75" s="35" t="str">
        <f>IF(Table2[[#This Row],[!Type]]=Q$1, Q$1,"rg:None")</f>
        <v>rg:None</v>
      </c>
      <c r="R75" s="35" t="str">
        <f>IF(Table2[[#This Row],[!Type]]=R$1, R$1,"rg:None")</f>
        <v>string</v>
      </c>
      <c r="S75" s="35" t="str">
        <f>IF(Table2[[#This Row],[!Type]]=S$1, S$1,"rg:None")</f>
        <v>rg:None</v>
      </c>
      <c r="T75" s="38" t="str">
        <f>IF(LEN(Table2[[#This Row],[!Length]]) &gt; 0, Table2[[#This Row],[!Length]], "rg:None")</f>
        <v>rg:None</v>
      </c>
      <c r="U75" s="38" t="str">
        <f>IF(LEN(Table2[[#This Row],[!Name]]) &gt; 0, Table2[[#This Row],[!Name]], "rg:None")</f>
        <v>issuerOrgTLA</v>
      </c>
      <c r="V75" s="38" t="str">
        <f>IF(LEN(Table2[[#This Row],[!Description]]) &gt; 0, Table2[[#This Row],[!Description]], "rg:None")</f>
        <v>An appreviation (aka Three Letter Acronym or TLA) of the organization that can be displayed where useful in a User Interface.</v>
      </c>
      <c r="W75" s="38" t="str">
        <f>IF(LEN(Table2[[#This Row],[!FK]])&gt;0,Table2[[#This Row],[!FK]],"rg:None")</f>
        <v>rg:None</v>
      </c>
      <c r="X75" s="38" t="str">
        <f>IF(LEN(concatif2(A:A,Table2[[#This Row],[!Table]],G:G,"Y",D:D,",")) &gt; 0,"rg:[ { 'req' : '"&amp;concatif2(A:A,Table2[[#This Row],[!Table]],G:G,"Y",D:D,"' }, { 'req': '")&amp;"'} ]","rg:[]")</f>
        <v>rg:[ { 'req' : 'id' }, { 'req': 'name' }, { 'req': 'issuerOrgTLA' }, { 'req': 'DID' }, { 'req': 'jurisdictionId' }, { 'req': 'effectiveDate'} ]</v>
      </c>
      <c r="Y75" s="38" t="str">
        <f>IF(LEN(Table2[[#This Row],[!Unique]])&gt;0,IF(Table2[[#This Row],[!Type]] = "id", "rg:None","rg:True"),"rg:None")</f>
        <v>rg:None</v>
      </c>
    </row>
    <row r="76" spans="1:25" s="35" customFormat="1" ht="28.8" customHeight="1" x14ac:dyDescent="0.3">
      <c r="A76" s="33" t="s">
        <v>113</v>
      </c>
      <c r="B76" s="33" t="s">
        <v>6</v>
      </c>
      <c r="C76" s="33"/>
      <c r="D76" s="33" t="s">
        <v>90</v>
      </c>
      <c r="E76" s="39" t="s">
        <v>94</v>
      </c>
      <c r="F76" s="34"/>
      <c r="G76" s="37"/>
      <c r="H76" s="37"/>
      <c r="I76" s="35" t="str">
        <f t="shared" ref="I76:I80" si="10">IF(LEN(A76) &gt; 0,"Defs","-")</f>
        <v>Defs</v>
      </c>
      <c r="J76" s="38" t="str">
        <f>IF(Table2[[#This Row],[!Type]]=J$1, J$1,"rg:None")</f>
        <v>rg:None</v>
      </c>
      <c r="K76" s="38" t="str">
        <f>IF(Table2[[#This Row],[!Type]]=K$1, K$1,"rg:None")</f>
        <v>rg:None</v>
      </c>
      <c r="L76" s="38" t="str">
        <f>IF(Table2[[#This Row],[!Type]]=L$1, L$1,"rg:None")</f>
        <v>rg:None</v>
      </c>
      <c r="M76" s="38" t="str">
        <f>IF(Table2[[#This Row],[!Type]]=M$1, M$1,"rg:None")</f>
        <v>rg:None</v>
      </c>
      <c r="N76" s="38" t="str">
        <f>IF(Table2[[#This Row],[!Type]]=N$1, N$1,"rg:None")</f>
        <v>rg:None</v>
      </c>
      <c r="O76" s="38" t="str">
        <f>IF(Table2[[#This Row],[!Type]]=O$1, O$1,"rg:None")</f>
        <v>rg:None</v>
      </c>
      <c r="P76" s="35" t="str">
        <f>IF(Table2[[#This Row],[!Type]]=P$1, P$1,"rg:None")</f>
        <v>rg:None</v>
      </c>
      <c r="Q76" s="35" t="str">
        <f>IF(Table2[[#This Row],[!Type]]=Q$1, Q$1,"rg:None")</f>
        <v>rg:None</v>
      </c>
      <c r="R76" s="35" t="str">
        <f>IF(Table2[[#This Row],[!Type]]=R$1, R$1,"rg:None")</f>
        <v>string</v>
      </c>
      <c r="S76" s="35" t="str">
        <f>IF(Table2[[#This Row],[!Type]]=S$1, S$1,"rg:None")</f>
        <v>rg:None</v>
      </c>
      <c r="T76" s="38" t="str">
        <f>IF(LEN(Table2[[#This Row],[!Length]]) &gt; 0, Table2[[#This Row],[!Length]], "rg:None")</f>
        <v>rg:None</v>
      </c>
      <c r="U76" s="38" t="str">
        <f>IF(LEN(Table2[[#This Row],[!Name]]) &gt; 0, Table2[[#This Row],[!Name]], "rg:None")</f>
        <v>issuerOrgURL</v>
      </c>
      <c r="V76" s="38" t="str">
        <f>IF(LEN(Table2[[#This Row],[!Description]]) &gt; 0, Table2[[#This Row],[!Description]], "rg:None")</f>
        <v>A URL to the web presence of the claim issuing Organization.</v>
      </c>
      <c r="W76" s="38" t="str">
        <f>IF(LEN(Table2[[#This Row],[!FK]])&gt;0,Table2[[#This Row],[!FK]],"rg:None")</f>
        <v>rg:None</v>
      </c>
      <c r="X76" s="38" t="str">
        <f>IF(LEN(concatif2(A:A,Table2[[#This Row],[!Table]],G:G,"Y",D:D,",")) &gt; 0,"rg:[ { 'req' : '"&amp;concatif2(A:A,Table2[[#This Row],[!Table]],G:G,"Y",D:D,"' }, { 'req': '")&amp;"'} ]","rg:[]")</f>
        <v>rg:[ { 'req' : 'id' }, { 'req': 'name' }, { 'req': 'issuerOrgTLA' }, { 'req': 'DID' }, { 'req': 'jurisdictionId' }, { 'req': 'effectiveDate'} ]</v>
      </c>
      <c r="Y76" s="38" t="str">
        <f>IF(LEN(Table2[[#This Row],[!Unique]])&gt;0,IF(Table2[[#This Row],[!Type]] = "id", "rg:None","rg:True"),"rg:None")</f>
        <v>rg:None</v>
      </c>
    </row>
    <row r="77" spans="1:25" s="35" customFormat="1" ht="28.8" x14ac:dyDescent="0.3">
      <c r="A77" s="33" t="s">
        <v>113</v>
      </c>
      <c r="B77" s="33" t="s">
        <v>6</v>
      </c>
      <c r="C77" s="33"/>
      <c r="D77" s="33" t="s">
        <v>95</v>
      </c>
      <c r="E77" s="39" t="s">
        <v>96</v>
      </c>
      <c r="F77" s="34"/>
      <c r="G77" s="37" t="s">
        <v>14</v>
      </c>
      <c r="H77" s="37"/>
      <c r="I77" s="35" t="str">
        <f t="shared" si="10"/>
        <v>Defs</v>
      </c>
      <c r="J77" s="38" t="str">
        <f>IF(Table2[[#This Row],[!Type]]=J$1, J$1,"rg:None")</f>
        <v>rg:None</v>
      </c>
      <c r="K77" s="38" t="str">
        <f>IF(Table2[[#This Row],[!Type]]=K$1, K$1,"rg:None")</f>
        <v>rg:None</v>
      </c>
      <c r="L77" s="38" t="str">
        <f>IF(Table2[[#This Row],[!Type]]=L$1, L$1,"rg:None")</f>
        <v>rg:None</v>
      </c>
      <c r="M77" s="38" t="str">
        <f>IF(Table2[[#This Row],[!Type]]=M$1, M$1,"rg:None")</f>
        <v>rg:None</v>
      </c>
      <c r="N77" s="38" t="str">
        <f>IF(Table2[[#This Row],[!Type]]=N$1, N$1,"rg:None")</f>
        <v>rg:None</v>
      </c>
      <c r="O77" s="38" t="str">
        <f>IF(Table2[[#This Row],[!Type]]=O$1, O$1,"rg:None")</f>
        <v>rg:None</v>
      </c>
      <c r="P77" s="35" t="str">
        <f>IF(Table2[[#This Row],[!Type]]=P$1, P$1,"rg:None")</f>
        <v>rg:None</v>
      </c>
      <c r="Q77" s="35" t="str">
        <f>IF(Table2[[#This Row],[!Type]]=Q$1, Q$1,"rg:None")</f>
        <v>rg:None</v>
      </c>
      <c r="R77" s="35" t="str">
        <f>IF(Table2[[#This Row],[!Type]]=R$1, R$1,"rg:None")</f>
        <v>string</v>
      </c>
      <c r="S77" s="35" t="str">
        <f>IF(Table2[[#This Row],[!Type]]=S$1, S$1,"rg:None")</f>
        <v>rg:None</v>
      </c>
      <c r="T77" s="38" t="str">
        <f>IF(LEN(Table2[[#This Row],[!Length]]) &gt; 0, Table2[[#This Row],[!Length]], "rg:None")</f>
        <v>rg:None</v>
      </c>
      <c r="U77" s="38" t="str">
        <f>IF(LEN(Table2[[#This Row],[!Name]]) &gt; 0, Table2[[#This Row],[!Name]], "rg:None")</f>
        <v>DID</v>
      </c>
      <c r="V77" s="38" t="str">
        <f>IF(LEN(Table2[[#This Row],[!Description]]) &gt; 0, Table2[[#This Row],[!Description]], "rg:None")</f>
        <v>The DID of the claim issuing organization so that the organization can be accessed using the Self-Sovereign Identity network.</v>
      </c>
      <c r="W77" s="38" t="str">
        <f>IF(LEN(Table2[[#This Row],[!FK]])&gt;0,Table2[[#This Row],[!FK]],"rg:None")</f>
        <v>rg:None</v>
      </c>
      <c r="X77" s="38" t="str">
        <f>IF(LEN(concatif2(A:A,Table2[[#This Row],[!Table]],G:G,"Y",D:D,",")) &gt; 0,"rg:[ { 'req' : '"&amp;concatif2(A:A,Table2[[#This Row],[!Table]],G:G,"Y",D:D,"' }, { 'req': '")&amp;"'} ]","rg:[]")</f>
        <v>rg:[ { 'req' : 'id' }, { 'req': 'name' }, { 'req': 'issuerOrgTLA' }, { 'req': 'DID' }, { 'req': 'jurisdictionId' }, { 'req': 'effectiveDate'} ]</v>
      </c>
      <c r="Y77" s="38" t="str">
        <f>IF(LEN(Table2[[#This Row],[!Unique]])&gt;0,IF(Table2[[#This Row],[!Type]] = "id", "rg:None","rg:True"),"rg:None")</f>
        <v>rg:None</v>
      </c>
    </row>
    <row r="78" spans="1:25" s="35" customFormat="1" ht="28.8" customHeight="1" x14ac:dyDescent="0.3">
      <c r="A78" s="33" t="s">
        <v>113</v>
      </c>
      <c r="B78" s="33" t="s">
        <v>7</v>
      </c>
      <c r="C78" s="33"/>
      <c r="D78" s="33" t="s">
        <v>97</v>
      </c>
      <c r="E78" s="34" t="s">
        <v>99</v>
      </c>
      <c r="F78" s="34" t="s">
        <v>98</v>
      </c>
      <c r="G78" s="37" t="s">
        <v>14</v>
      </c>
      <c r="H78" s="37"/>
      <c r="I78" s="35" t="str">
        <f t="shared" si="10"/>
        <v>Defs</v>
      </c>
      <c r="J78" s="38" t="str">
        <f>IF(Table2[[#This Row],[!Type]]=J$1, J$1,"rg:None")</f>
        <v>rg:None</v>
      </c>
      <c r="K78" s="38" t="str">
        <f>IF(Table2[[#This Row],[!Type]]=K$1, K$1,"rg:None")</f>
        <v>rg:None</v>
      </c>
      <c r="L78" s="38" t="str">
        <f>IF(Table2[[#This Row],[!Type]]=L$1, L$1,"rg:None")</f>
        <v>rg:None</v>
      </c>
      <c r="M78" s="38" t="str">
        <f>IF(Table2[[#This Row],[!Type]]=M$1, M$1,"rg:None")</f>
        <v>rg:None</v>
      </c>
      <c r="N78" s="38" t="str">
        <f>IF(Table2[[#This Row],[!Type]]=N$1, N$1,"rg:None")</f>
        <v>rg:None</v>
      </c>
      <c r="O78" s="38" t="str">
        <f>IF(Table2[[#This Row],[!Type]]=O$1, O$1,"rg:None")</f>
        <v>rg:None</v>
      </c>
      <c r="P78" s="35" t="str">
        <f>IF(Table2[[#This Row],[!Type]]=P$1, P$1,"rg:None")</f>
        <v>rg:None</v>
      </c>
      <c r="Q78" s="35" t="str">
        <f>IF(Table2[[#This Row],[!Type]]=Q$1, Q$1,"rg:None")</f>
        <v>ref</v>
      </c>
      <c r="R78" s="35" t="str">
        <f>IF(Table2[[#This Row],[!Type]]=R$1, R$1,"rg:None")</f>
        <v>rg:None</v>
      </c>
      <c r="S78" s="35" t="str">
        <f>IF(Table2[[#This Row],[!Type]]=S$1, S$1,"rg:None")</f>
        <v>rg:None</v>
      </c>
      <c r="T78" s="38" t="str">
        <f>IF(LEN(Table2[[#This Row],[!Length]]) &gt; 0, Table2[[#This Row],[!Length]], "rg:None")</f>
        <v>rg:None</v>
      </c>
      <c r="U78" s="38" t="str">
        <f>IF(LEN(Table2[[#This Row],[!Name]]) &gt; 0, Table2[[#This Row],[!Name]], "rg:None")</f>
        <v>jurisdictionId</v>
      </c>
      <c r="V78" s="38" t="str">
        <f>IF(LEN(Table2[[#This Row],[!Description]]) &gt; 0, Table2[[#This Row],[!Description]], "rg:None")</f>
        <v>A foreign key reference into the Jurisdiction table.</v>
      </c>
      <c r="W78" s="38" t="str">
        <f>IF(LEN(Table2[[#This Row],[!FK]])&gt;0,Table2[[#This Row],[!FK]],"rg:None")</f>
        <v>Jurisdiction</v>
      </c>
      <c r="X78" s="38" t="str">
        <f>IF(LEN(concatif2(A:A,Table2[[#This Row],[!Table]],G:G,"Y",D:D,",")) &gt; 0,"rg:[ { 'req' : '"&amp;concatif2(A:A,Table2[[#This Row],[!Table]],G:G,"Y",D:D,"' }, { 'req': '")&amp;"'} ]","rg:[]")</f>
        <v>rg:[ { 'req' : 'id' }, { 'req': 'name' }, { 'req': 'issuerOrgTLA' }, { 'req': 'DID' }, { 'req': 'jurisdictionId' }, { 'req': 'effectiveDate'} ]</v>
      </c>
      <c r="Y78" s="38" t="str">
        <f>IF(LEN(Table2[[#This Row],[!Unique]])&gt;0,IF(Table2[[#This Row],[!Type]] = "id", "rg:None","rg:True"),"rg:None")</f>
        <v>rg:None</v>
      </c>
    </row>
    <row r="79" spans="1:25" s="35" customFormat="1" ht="28.8" customHeight="1" x14ac:dyDescent="0.3">
      <c r="A79" s="33" t="s">
        <v>113</v>
      </c>
      <c r="B79" s="33" t="s">
        <v>9</v>
      </c>
      <c r="C79" s="33"/>
      <c r="D79" s="33" t="s">
        <v>52</v>
      </c>
      <c r="E79" s="39" t="s">
        <v>164</v>
      </c>
      <c r="F79" s="34"/>
      <c r="G79" s="37" t="s">
        <v>14</v>
      </c>
      <c r="H79" s="37"/>
      <c r="I79" s="35" t="str">
        <f t="shared" si="10"/>
        <v>Defs</v>
      </c>
      <c r="J79" s="38" t="str">
        <f>IF(Table2[[#This Row],[!Type]]=J$1, J$1,"rg:None")</f>
        <v>rg:None</v>
      </c>
      <c r="K79" s="38" t="str">
        <f>IF(Table2[[#This Row],[!Type]]=K$1, K$1,"rg:None")</f>
        <v>rg:None</v>
      </c>
      <c r="L79" s="38" t="str">
        <f>IF(Table2[[#This Row],[!Type]]=L$1, L$1,"rg:None")</f>
        <v>datetime</v>
      </c>
      <c r="M79" s="38" t="str">
        <f>IF(Table2[[#This Row],[!Type]]=M$1, M$1,"rg:None")</f>
        <v>rg:None</v>
      </c>
      <c r="N79" s="38" t="str">
        <f>IF(Table2[[#This Row],[!Type]]=N$1, N$1,"rg:None")</f>
        <v>rg:None</v>
      </c>
      <c r="O79" s="38" t="str">
        <f>IF(Table2[[#This Row],[!Type]]=O$1, O$1,"rg:None")</f>
        <v>rg:None</v>
      </c>
      <c r="P79" s="35" t="str">
        <f>IF(Table2[[#This Row],[!Type]]=P$1, P$1,"rg:None")</f>
        <v>rg:None</v>
      </c>
      <c r="Q79" s="35" t="str">
        <f>IF(Table2[[#This Row],[!Type]]=Q$1, Q$1,"rg:None")</f>
        <v>rg:None</v>
      </c>
      <c r="R79" s="35" t="str">
        <f>IF(Table2[[#This Row],[!Type]]=R$1, R$1,"rg:None")</f>
        <v>rg:None</v>
      </c>
      <c r="S79" s="35" t="str">
        <f>IF(Table2[[#This Row],[!Type]]=S$1, S$1,"rg:None")</f>
        <v>rg:None</v>
      </c>
      <c r="T79" s="38" t="str">
        <f>IF(LEN(Table2[[#This Row],[!Length]]) &gt; 0, Table2[[#This Row],[!Length]], "rg:None")</f>
        <v>rg:None</v>
      </c>
      <c r="U79" s="38" t="str">
        <f>IF(LEN(Table2[[#This Row],[!Name]]) &gt; 0, Table2[[#This Row],[!Name]], "rg:None")</f>
        <v>effectiveDate</v>
      </c>
      <c r="V79" s="38" t="str">
        <f>IF(LEN(Table2[[#This Row],[!Description]]) &gt; 0, Table2[[#This Row],[!Description]], "rg:None")</f>
        <v>The date upon which the IssuerOrg was activated for use.</v>
      </c>
      <c r="W79" s="38" t="str">
        <f>IF(LEN(Table2[[#This Row],[!FK]])&gt;0,Table2[[#This Row],[!FK]],"rg:None")</f>
        <v>rg:None</v>
      </c>
      <c r="X79" s="38" t="str">
        <f>IF(LEN(concatif2(A:A,Table2[[#This Row],[!Table]],G:G,"Y",D:D,",")) &gt; 0,"rg:[ { 'req' : '"&amp;concatif2(A:A,Table2[[#This Row],[!Table]],G:G,"Y",D:D,"' }, { 'req': '")&amp;"'} ]","rg:[]")</f>
        <v>rg:[ { 'req' : 'id' }, { 'req': 'name' }, { 'req': 'issuerOrgTLA' }, { 'req': 'DID' }, { 'req': 'jurisdictionId' }, { 'req': 'effectiveDate'} ]</v>
      </c>
      <c r="Y79" s="38" t="str">
        <f>IF(LEN(Table2[[#This Row],[!Unique]])&gt;0,IF(Table2[[#This Row],[!Type]] = "id", "rg:None","rg:True"),"rg:None")</f>
        <v>rg:None</v>
      </c>
    </row>
    <row r="80" spans="1:25" s="35" customFormat="1" ht="28.8" customHeight="1" x14ac:dyDescent="0.3">
      <c r="A80" s="33" t="s">
        <v>113</v>
      </c>
      <c r="B80" s="33" t="s">
        <v>9</v>
      </c>
      <c r="C80" s="33"/>
      <c r="D80" s="33" t="s">
        <v>53</v>
      </c>
      <c r="E80" s="39" t="s">
        <v>159</v>
      </c>
      <c r="F80" s="34"/>
      <c r="G80" s="37"/>
      <c r="H80" s="37"/>
      <c r="I80" s="35" t="str">
        <f t="shared" si="10"/>
        <v>Defs</v>
      </c>
      <c r="J80" s="38" t="str">
        <f>IF(Table2[[#This Row],[!Type]]=J$1, J$1,"rg:None")</f>
        <v>rg:None</v>
      </c>
      <c r="K80" s="38" t="str">
        <f>IF(Table2[[#This Row],[!Type]]=K$1, K$1,"rg:None")</f>
        <v>rg:None</v>
      </c>
      <c r="L80" s="38" t="str">
        <f>IF(Table2[[#This Row],[!Type]]=L$1, L$1,"rg:None")</f>
        <v>datetime</v>
      </c>
      <c r="M80" s="38" t="str">
        <f>IF(Table2[[#This Row],[!Type]]=M$1, M$1,"rg:None")</f>
        <v>rg:None</v>
      </c>
      <c r="N80" s="38" t="str">
        <f>IF(Table2[[#This Row],[!Type]]=N$1, N$1,"rg:None")</f>
        <v>rg:None</v>
      </c>
      <c r="O80" s="38" t="str">
        <f>IF(Table2[[#This Row],[!Type]]=O$1, O$1,"rg:None")</f>
        <v>rg:None</v>
      </c>
      <c r="P80" s="35" t="str">
        <f>IF(Table2[[#This Row],[!Type]]=P$1, P$1,"rg:None")</f>
        <v>rg:None</v>
      </c>
      <c r="Q80" s="35" t="str">
        <f>IF(Table2[[#This Row],[!Type]]=Q$1, Q$1,"rg:None")</f>
        <v>rg:None</v>
      </c>
      <c r="R80" s="35" t="str">
        <f>IF(Table2[[#This Row],[!Type]]=R$1, R$1,"rg:None")</f>
        <v>rg:None</v>
      </c>
      <c r="S80" s="35" t="str">
        <f>IF(Table2[[#This Row],[!Type]]=S$1, S$1,"rg:None")</f>
        <v>rg:None</v>
      </c>
      <c r="T80" s="38" t="str">
        <f>IF(LEN(Table2[[#This Row],[!Length]]) &gt; 0, Table2[[#This Row],[!Length]], "rg:None")</f>
        <v>rg:None</v>
      </c>
      <c r="U80" s="38" t="str">
        <f>IF(LEN(Table2[[#This Row],[!Name]]) &gt; 0, Table2[[#This Row],[!Name]], "rg:None")</f>
        <v>endDate</v>
      </c>
      <c r="V80" s="38" t="str">
        <f>IF(LEN(Table2[[#This Row],[!Description]]) &gt; 0, Table2[[#This Row],[!Description]], "rg:None")</f>
        <v>The date after which the IssuerOrg will no longer be used. The value is NULL if still active.</v>
      </c>
      <c r="W80" s="38" t="str">
        <f>IF(LEN(Table2[[#This Row],[!FK]])&gt;0,Table2[[#This Row],[!FK]],"rg:None")</f>
        <v>rg:None</v>
      </c>
      <c r="X80" s="38" t="str">
        <f>IF(LEN(concatif2(A:A,Table2[[#This Row],[!Table]],G:G,"Y",D:D,",")) &gt; 0,"rg:[ { 'req' : '"&amp;concatif2(A:A,Table2[[#This Row],[!Table]],G:G,"Y",D:D,"' }, { 'req': '")&amp;"'} ]","rg:[]")</f>
        <v>rg:[ { 'req' : 'id' }, { 'req': 'name' }, { 'req': 'issuerOrgTLA' }, { 'req': 'DID' }, { 'req': 'jurisdictionId' }, { 'req': 'effectiveDate'} ]</v>
      </c>
      <c r="Y80" s="38" t="str">
        <f>IF(LEN(Table2[[#This Row],[!Unique]])&gt;0,IF(Table2[[#This Row],[!Type]] = "id", "rg:None","rg:True"),"rg:None")</f>
        <v>rg:None</v>
      </c>
    </row>
    <row r="81" spans="1:25" s="35" customFormat="1" ht="28.8" customHeight="1" x14ac:dyDescent="0.3">
      <c r="A81" s="33" t="s">
        <v>98</v>
      </c>
      <c r="B81" s="33" t="s">
        <v>3</v>
      </c>
      <c r="C81" s="33"/>
      <c r="D81" s="33" t="s">
        <v>98</v>
      </c>
      <c r="E81" s="39" t="s">
        <v>100</v>
      </c>
      <c r="F81" s="34"/>
      <c r="G81" s="37"/>
      <c r="H81" s="37"/>
      <c r="I81" s="35" t="str">
        <f t="shared" ref="I81:I82" si="11">IF(LEN(A81) &gt; 0,"Defs","-")</f>
        <v>Defs</v>
      </c>
      <c r="J81" s="38" t="str">
        <f>IF(Table2[[#This Row],[!Type]]=J$1, J$1,"rg:None")</f>
        <v>rg:None</v>
      </c>
      <c r="K81" s="38" t="str">
        <f>IF(Table2[[#This Row],[!Type]]=K$1, K$1,"rg:None")</f>
        <v>rg:None</v>
      </c>
      <c r="L81" s="38" t="str">
        <f>IF(Table2[[#This Row],[!Type]]=L$1, L$1,"rg:None")</f>
        <v>rg:None</v>
      </c>
      <c r="M81" s="38" t="str">
        <f>IF(Table2[[#This Row],[!Type]]=M$1, M$1,"rg:None")</f>
        <v>rg:None</v>
      </c>
      <c r="N81" s="38" t="str">
        <f>IF(Table2[[#This Row],[!Type]]=N$1, N$1,"rg:None")</f>
        <v>rg:None</v>
      </c>
      <c r="O81" s="38" t="str">
        <f>IF(Table2[[#This Row],[!Type]]=O$1, O$1,"rg:None")</f>
        <v>rg:None</v>
      </c>
      <c r="P81" s="35" t="str">
        <f>IF(Table2[[#This Row],[!Type]]=P$1, P$1,"rg:None")</f>
        <v>rg:None</v>
      </c>
      <c r="Q81" s="35" t="str">
        <f>IF(Table2[[#This Row],[!Type]]=Q$1, Q$1,"rg:None")</f>
        <v>rg:None</v>
      </c>
      <c r="R81" s="35" t="str">
        <f>IF(Table2[[#This Row],[!Type]]=R$1, R$1,"rg:None")</f>
        <v>rg:None</v>
      </c>
      <c r="S81" s="35" t="str">
        <f>IF(Table2[[#This Row],[!Type]]=S$1, S$1,"rg:None")</f>
        <v>table</v>
      </c>
      <c r="T81" s="38" t="str">
        <f>IF(LEN(Table2[[#This Row],[!Length]]) &gt; 0, Table2[[#This Row],[!Length]], "rg:None")</f>
        <v>rg:None</v>
      </c>
      <c r="U81" s="38" t="str">
        <f>IF(LEN(Table2[[#This Row],[!Name]]) &gt; 0, Table2[[#This Row],[!Name]], "rg:None")</f>
        <v>Jurisdiction</v>
      </c>
      <c r="V81" s="38" t="str">
        <f>IF(LEN(Table2[[#This Row],[!Description]]) &gt; 0, Table2[[#This Row],[!Description]], "rg:None")</f>
        <v>A list of the possible Jurisdiction of an Organization.</v>
      </c>
      <c r="W81" s="38" t="str">
        <f>IF(LEN(Table2[[#This Row],[!FK]])&gt;0,Table2[[#This Row],[!FK]],"rg:None")</f>
        <v>rg:None</v>
      </c>
      <c r="X81" s="38" t="str">
        <f>IF(LEN(concatif2(A:A,Table2[[#This Row],[!Table]],G:G,"Y",D:D,",")) &gt; 0,"rg:[ { 'req' : '"&amp;concatif2(A:A,Table2[[#This Row],[!Table]],G:G,"Y",D:D,"' }, { 'req': '")&amp;"'} ]","rg:[]")</f>
        <v>rg:[ { 'req' : 'id' }, { 'req': 'abbrv' }, { 'req': 'name' }, { 'req': 'effectiveDate'} ]</v>
      </c>
      <c r="Y81" s="38" t="str">
        <f>IF(LEN(Table2[[#This Row],[!Unique]])&gt;0,IF(Table2[[#This Row],[!Type]] = "id", "rg:None","rg:True"),"rg:None")</f>
        <v>rg:None</v>
      </c>
    </row>
    <row r="82" spans="1:25" s="35" customFormat="1" x14ac:dyDescent="0.3">
      <c r="A82" s="33" t="s">
        <v>98</v>
      </c>
      <c r="B82" s="33" t="s">
        <v>5</v>
      </c>
      <c r="C82" s="33"/>
      <c r="D82" s="33" t="s">
        <v>5</v>
      </c>
      <c r="E82" s="39" t="s">
        <v>101</v>
      </c>
      <c r="F82" s="34"/>
      <c r="G82" s="37" t="s">
        <v>14</v>
      </c>
      <c r="H82" s="37" t="s">
        <v>14</v>
      </c>
      <c r="I82" s="35" t="str">
        <f t="shared" si="11"/>
        <v>Defs</v>
      </c>
      <c r="J82" s="38" t="str">
        <f>IF(Table2[[#This Row],[!Type]]=J$1, J$1,"rg:None")</f>
        <v>rg:None</v>
      </c>
      <c r="K82" s="38" t="str">
        <f>IF(Table2[[#This Row],[!Type]]=K$1, K$1,"rg:None")</f>
        <v>rg:None</v>
      </c>
      <c r="L82" s="38" t="str">
        <f>IF(Table2[[#This Row],[!Type]]=L$1, L$1,"rg:None")</f>
        <v>rg:None</v>
      </c>
      <c r="M82" s="38" t="str">
        <f>IF(Table2[[#This Row],[!Type]]=M$1, M$1,"rg:None")</f>
        <v>id</v>
      </c>
      <c r="N82" s="38" t="str">
        <f>IF(Table2[[#This Row],[!Type]]=N$1, N$1,"rg:None")</f>
        <v>rg:None</v>
      </c>
      <c r="O82" s="38" t="str">
        <f>IF(Table2[[#This Row],[!Type]]=O$1, O$1,"rg:None")</f>
        <v>rg:None</v>
      </c>
      <c r="P82" s="35" t="str">
        <f>IF(Table2[[#This Row],[!Type]]=P$1, P$1,"rg:None")</f>
        <v>rg:None</v>
      </c>
      <c r="Q82" s="35" t="str">
        <f>IF(Table2[[#This Row],[!Type]]=Q$1, Q$1,"rg:None")</f>
        <v>rg:None</v>
      </c>
      <c r="R82" s="35" t="str">
        <f>IF(Table2[[#This Row],[!Type]]=R$1, R$1,"rg:None")</f>
        <v>rg:None</v>
      </c>
      <c r="S82" s="35" t="str">
        <f>IF(Table2[[#This Row],[!Type]]=S$1, S$1,"rg:None")</f>
        <v>rg:None</v>
      </c>
      <c r="T82" s="38" t="str">
        <f>IF(LEN(Table2[[#This Row],[!Length]]) &gt; 0, Table2[[#This Row],[!Length]], "rg:None")</f>
        <v>rg:None</v>
      </c>
      <c r="U82" s="38" t="str">
        <f>IF(LEN(Table2[[#This Row],[!Name]]) &gt; 0, Table2[[#This Row],[!Name]], "rg:None")</f>
        <v>id</v>
      </c>
      <c r="V82" s="38" t="str">
        <f>IF(LEN(Table2[[#This Row],[!Description]]) &gt; 0, Table2[[#This Row],[!Description]], "rg:None")</f>
        <v>A system-generated unique identifier for a Jurisdiction</v>
      </c>
      <c r="W82" s="38" t="str">
        <f>IF(LEN(Table2[[#This Row],[!FK]])&gt;0,Table2[[#This Row],[!FK]],"rg:None")</f>
        <v>rg:None</v>
      </c>
      <c r="X82" s="38" t="str">
        <f>IF(LEN(concatif2(A:A,Table2[[#This Row],[!Table]],G:G,"Y",D:D,",")) &gt; 0,"rg:[ { 'req' : '"&amp;concatif2(A:A,Table2[[#This Row],[!Table]],G:G,"Y",D:D,"' }, { 'req': '")&amp;"'} ]","rg:[]")</f>
        <v>rg:[ { 'req' : 'id' }, { 'req': 'abbrv' }, { 'req': 'name' }, { 'req': 'effectiveDate'} ]</v>
      </c>
      <c r="Y82" s="38" t="str">
        <f>IF(LEN(Table2[[#This Row],[!Unique]])&gt;0,IF(Table2[[#This Row],[!Type]] = "id", "rg:None","rg:True"),"rg:None")</f>
        <v>rg:None</v>
      </c>
    </row>
    <row r="83" spans="1:25" s="35" customFormat="1" ht="28.8" customHeight="1" x14ac:dyDescent="0.3">
      <c r="A83" s="33" t="s">
        <v>98</v>
      </c>
      <c r="B83" s="33" t="s">
        <v>6</v>
      </c>
      <c r="C83" s="33">
        <v>25</v>
      </c>
      <c r="D83" s="33" t="s">
        <v>174</v>
      </c>
      <c r="E83" s="39" t="s">
        <v>74</v>
      </c>
      <c r="F83" s="34"/>
      <c r="G83" s="37" t="s">
        <v>14</v>
      </c>
      <c r="H83" s="37" t="s">
        <v>14</v>
      </c>
      <c r="I83" s="35" t="str">
        <f t="shared" ref="I83" si="12">IF(LEN(A83) &gt; 0,"Defs","-")</f>
        <v>Defs</v>
      </c>
      <c r="J83" s="38" t="str">
        <f>IF(Table2[[#This Row],[!Type]]=J$1, J$1,"rg:None")</f>
        <v>rg:None</v>
      </c>
      <c r="K83" s="38" t="str">
        <f>IF(Table2[[#This Row],[!Type]]=K$1, K$1,"rg:None")</f>
        <v>rg:None</v>
      </c>
      <c r="L83" s="38" t="str">
        <f>IF(Table2[[#This Row],[!Type]]=L$1, L$1,"rg:None")</f>
        <v>rg:None</v>
      </c>
      <c r="M83" s="38" t="str">
        <f>IF(Table2[[#This Row],[!Type]]=M$1, M$1,"rg:None")</f>
        <v>rg:None</v>
      </c>
      <c r="N83" s="38" t="str">
        <f>IF(Table2[[#This Row],[!Type]]=N$1, N$1,"rg:None")</f>
        <v>rg:None</v>
      </c>
      <c r="O83" s="38" t="str">
        <f>IF(Table2[[#This Row],[!Type]]=O$1, O$1,"rg:None")</f>
        <v>rg:None</v>
      </c>
      <c r="P83" s="35" t="str">
        <f>IF(Table2[[#This Row],[!Type]]=P$1, P$1,"rg:None")</f>
        <v>rg:None</v>
      </c>
      <c r="Q83" s="35" t="str">
        <f>IF(Table2[[#This Row],[!Type]]=Q$1, Q$1,"rg:None")</f>
        <v>rg:None</v>
      </c>
      <c r="R83" s="35" t="str">
        <f>IF(Table2[[#This Row],[!Type]]=R$1, R$1,"rg:None")</f>
        <v>string</v>
      </c>
      <c r="S83" s="35" t="str">
        <f>IF(Table2[[#This Row],[!Type]]=S$1, S$1,"rg:None")</f>
        <v>rg:None</v>
      </c>
      <c r="T83" s="38">
        <f>IF(LEN(Table2[[#This Row],[!Length]]) &gt; 0, Table2[[#This Row],[!Length]], "rg:None")</f>
        <v>25</v>
      </c>
      <c r="U83" s="38" t="str">
        <f>IF(LEN(Table2[[#This Row],[!Name]]) &gt; 0, Table2[[#This Row],[!Name]], "rg:None")</f>
        <v>abbrv</v>
      </c>
      <c r="V83" s="38" t="str">
        <f>IF(LEN(Table2[[#This Row],[!Description]]) &gt; 0, Table2[[#This Row],[!Description]], "rg:None")</f>
        <v>An abbreviation for this Jurisdiction, eg. BC.</v>
      </c>
      <c r="W83" s="38" t="str">
        <f>IF(LEN(Table2[[#This Row],[!FK]])&gt;0,Table2[[#This Row],[!FK]],"rg:None")</f>
        <v>rg:None</v>
      </c>
      <c r="X83" s="38" t="str">
        <f>IF(LEN(concatif2(A:A,Table2[[#This Row],[!Table]],G:G,"Y",D:D,",")) &gt; 0,"rg:[ { 'req' : '"&amp;concatif2(A:A,Table2[[#This Row],[!Table]],G:G,"Y",D:D,"' }, { 'req': '")&amp;"'} ]","rg:[]")</f>
        <v>rg:[ { 'req' : 'id' }, { 'req': 'abbrv' }, { 'req': 'name' }, { 'req': 'effectiveDate'} ]</v>
      </c>
      <c r="Y83" s="38" t="str">
        <f>IF(LEN(Table2[[#This Row],[!Unique]])&gt;0,IF(Table2[[#This Row],[!Type]] = "id", "rg:None","rg:True"),"rg:None")</f>
        <v>rg:True</v>
      </c>
    </row>
    <row r="84" spans="1:25" s="35" customFormat="1" ht="28.8" customHeight="1" x14ac:dyDescent="0.3">
      <c r="A84" s="33" t="s">
        <v>98</v>
      </c>
      <c r="B84" s="33" t="s">
        <v>6</v>
      </c>
      <c r="C84" s="33">
        <v>1000</v>
      </c>
      <c r="D84" s="33" t="s">
        <v>12</v>
      </c>
      <c r="E84" s="39" t="s">
        <v>75</v>
      </c>
      <c r="F84" s="34"/>
      <c r="G84" s="37" t="s">
        <v>14</v>
      </c>
      <c r="H84" s="37" t="s">
        <v>14</v>
      </c>
      <c r="I84" s="35" t="str">
        <f t="shared" ref="I84:I88" si="13">IF(LEN(A84) &gt; 0,"Defs","-")</f>
        <v>Defs</v>
      </c>
      <c r="J84" s="38" t="str">
        <f>IF(Table2[[#This Row],[!Type]]=J$1, J$1,"rg:None")</f>
        <v>rg:None</v>
      </c>
      <c r="K84" s="38" t="str">
        <f>IF(Table2[[#This Row],[!Type]]=K$1, K$1,"rg:None")</f>
        <v>rg:None</v>
      </c>
      <c r="L84" s="38" t="str">
        <f>IF(Table2[[#This Row],[!Type]]=L$1, L$1,"rg:None")</f>
        <v>rg:None</v>
      </c>
      <c r="M84" s="38" t="str">
        <f>IF(Table2[[#This Row],[!Type]]=M$1, M$1,"rg:None")</f>
        <v>rg:None</v>
      </c>
      <c r="N84" s="38" t="str">
        <f>IF(Table2[[#This Row],[!Type]]=N$1, N$1,"rg:None")</f>
        <v>rg:None</v>
      </c>
      <c r="O84" s="38" t="str">
        <f>IF(Table2[[#This Row],[!Type]]=O$1, O$1,"rg:None")</f>
        <v>rg:None</v>
      </c>
      <c r="P84" s="35" t="str">
        <f>IF(Table2[[#This Row],[!Type]]=P$1, P$1,"rg:None")</f>
        <v>rg:None</v>
      </c>
      <c r="Q84" s="35" t="str">
        <f>IF(Table2[[#This Row],[!Type]]=Q$1, Q$1,"rg:None")</f>
        <v>rg:None</v>
      </c>
      <c r="R84" s="35" t="str">
        <f>IF(Table2[[#This Row],[!Type]]=R$1, R$1,"rg:None")</f>
        <v>string</v>
      </c>
      <c r="S84" s="35" t="str">
        <f>IF(Table2[[#This Row],[!Type]]=S$1, S$1,"rg:None")</f>
        <v>rg:None</v>
      </c>
      <c r="T84" s="38">
        <f>IF(LEN(Table2[[#This Row],[!Length]]) &gt; 0, Table2[[#This Row],[!Length]], "rg:None")</f>
        <v>1000</v>
      </c>
      <c r="U84" s="38" t="str">
        <f>IF(LEN(Table2[[#This Row],[!Name]]) &gt; 0, Table2[[#This Row],[!Name]], "rg:None")</f>
        <v>name</v>
      </c>
      <c r="V84" s="38" t="str">
        <f>IF(LEN(Table2[[#This Row],[!Description]]) &gt; 0, Table2[[#This Row],[!Description]], "rg:None")</f>
        <v>The full name of the jurisdication, eg. British Columbia</v>
      </c>
      <c r="W84" s="38" t="str">
        <f>IF(LEN(Table2[[#This Row],[!FK]])&gt;0,Table2[[#This Row],[!FK]],"rg:None")</f>
        <v>rg:None</v>
      </c>
      <c r="X84" s="38" t="str">
        <f>IF(LEN(concatif2(A:A,Table2[[#This Row],[!Table]],G:G,"Y",D:D,",")) &gt; 0,"rg:[ { 'req' : '"&amp;concatif2(A:A,Table2[[#This Row],[!Table]],G:G,"Y",D:D,"' }, { 'req': '")&amp;"'} ]","rg:[]")</f>
        <v>rg:[ { 'req' : 'id' }, { 'req': 'abbrv' }, { 'req': 'name' }, { 'req': 'effectiveDate'} ]</v>
      </c>
      <c r="Y84" s="38" t="str">
        <f>IF(LEN(Table2[[#This Row],[!Unique]])&gt;0,IF(Table2[[#This Row],[!Type]] = "id", "rg:None","rg:True"),"rg:None")</f>
        <v>rg:True</v>
      </c>
    </row>
    <row r="85" spans="1:25" s="35" customFormat="1" ht="43.2" customHeight="1" x14ac:dyDescent="0.3">
      <c r="A85" s="33" t="s">
        <v>98</v>
      </c>
      <c r="B85" s="33" t="s">
        <v>10</v>
      </c>
      <c r="C85" s="33"/>
      <c r="D85" s="33" t="s">
        <v>54</v>
      </c>
      <c r="E85" s="39" t="s">
        <v>76</v>
      </c>
      <c r="F85" s="34"/>
      <c r="G85" s="37"/>
      <c r="H85" s="37"/>
      <c r="I85" s="35" t="str">
        <f>IF(LEN(A85) &gt; 0,"Defs","-")</f>
        <v>Defs</v>
      </c>
      <c r="J85" s="38" t="str">
        <f>IF(Table2[[#This Row],[!Type]]=J$1, J$1,"rg:None")</f>
        <v>rg:None</v>
      </c>
      <c r="K85" s="38" t="str">
        <f>IF(Table2[[#This Row],[!Type]]=K$1, K$1,"rg:None")</f>
        <v>rg:None</v>
      </c>
      <c r="L85" s="38" t="str">
        <f>IF(Table2[[#This Row],[!Type]]=L$1, L$1,"rg:None")</f>
        <v>rg:None</v>
      </c>
      <c r="M85" s="38" t="str">
        <f>IF(Table2[[#This Row],[!Type]]=M$1, M$1,"rg:None")</f>
        <v>rg:None</v>
      </c>
      <c r="N85" s="38" t="str">
        <f>IF(Table2[[#This Row],[!Type]]=N$1, N$1,"rg:None")</f>
        <v>integer</v>
      </c>
      <c r="O85" s="38" t="str">
        <f>IF(Table2[[#This Row],[!Type]]=O$1, O$1,"rg:None")</f>
        <v>rg:None</v>
      </c>
      <c r="P85" s="35" t="str">
        <f>IF(Table2[[#This Row],[!Type]]=P$1, P$1,"rg:None")</f>
        <v>rg:None</v>
      </c>
      <c r="Q85" s="35" t="str">
        <f>IF(Table2[[#This Row],[!Type]]=Q$1, Q$1,"rg:None")</f>
        <v>rg:None</v>
      </c>
      <c r="R85" s="35" t="str">
        <f>IF(Table2[[#This Row],[!Type]]=R$1, R$1,"rg:None")</f>
        <v>rg:None</v>
      </c>
      <c r="S85" s="35" t="str">
        <f>IF(Table2[[#This Row],[!Type]]=S$1, S$1,"rg:None")</f>
        <v>rg:None</v>
      </c>
      <c r="T85" s="38" t="str">
        <f>IF(LEN(Table2[[#This Row],[!Length]]) &gt; 0, Table2[[#This Row],[!Length]], "rg:None")</f>
        <v>rg:None</v>
      </c>
      <c r="U85" s="38" t="str">
        <f>IF(LEN(Table2[[#This Row],[!Name]]) &gt; 0, Table2[[#This Row],[!Name]], "rg:None")</f>
        <v>displayOrder</v>
      </c>
      <c r="V85" s="38" t="str">
        <f>IF(LEN(Table2[[#This Row],[!Description]]) &gt; 0, Table2[[#This Row],[!Description]], "rg:None")</f>
        <v>The order of display of the Jurisdictions. In general, the order will be alpha, with the isOnCommonList is True entries grouped first.</v>
      </c>
      <c r="W85" s="38" t="str">
        <f>IF(LEN(Table2[[#This Row],[!FK]])&gt;0,Table2[[#This Row],[!FK]],"rg:None")</f>
        <v>rg:None</v>
      </c>
      <c r="X85" s="38" t="str">
        <f>IF(LEN(concatif2(A:A,Table2[[#This Row],[!Table]],G:G,"Y",D:D,",")) &gt; 0,"rg:[ { 'req' : '"&amp;concatif2(A:A,Table2[[#This Row],[!Table]],G:G,"Y",D:D,"' }, { 'req': '")&amp;"'} ]","rg:[]")</f>
        <v>rg:[ { 'req' : 'id' }, { 'req': 'abbrv' }, { 'req': 'name' }, { 'req': 'effectiveDate'} ]</v>
      </c>
      <c r="Y85" s="38" t="str">
        <f>IF(LEN(Table2[[#This Row],[!Unique]])&gt;0,IF(Table2[[#This Row],[!Type]] = "id", "rg:None","rg:True"),"rg:None")</f>
        <v>rg:None</v>
      </c>
    </row>
    <row r="86" spans="1:25" s="35" customFormat="1" ht="57.6" x14ac:dyDescent="0.3">
      <c r="A86" s="33" t="s">
        <v>98</v>
      </c>
      <c r="B86" s="33" t="s">
        <v>8</v>
      </c>
      <c r="C86" s="33"/>
      <c r="D86" s="33" t="s">
        <v>73</v>
      </c>
      <c r="E86" s="39" t="s">
        <v>77</v>
      </c>
      <c r="F86" s="34"/>
      <c r="G86" s="37"/>
      <c r="H86" s="37"/>
      <c r="I86" s="35" t="str">
        <f>IF(LEN(A86) &gt; 0,"Defs","-")</f>
        <v>Defs</v>
      </c>
      <c r="J86" s="38" t="str">
        <f>IF(Table2[[#This Row],[!Type]]=J$1, J$1,"rg:None")</f>
        <v>boolean</v>
      </c>
      <c r="K86" s="38" t="str">
        <f>IF(Table2[[#This Row],[!Type]]=K$1, K$1,"rg:None")</f>
        <v>rg:None</v>
      </c>
      <c r="L86" s="38" t="str">
        <f>IF(Table2[[#This Row],[!Type]]=L$1, L$1,"rg:None")</f>
        <v>rg:None</v>
      </c>
      <c r="M86" s="38" t="str">
        <f>IF(Table2[[#This Row],[!Type]]=M$1, M$1,"rg:None")</f>
        <v>rg:None</v>
      </c>
      <c r="N86" s="38" t="str">
        <f>IF(Table2[[#This Row],[!Type]]=N$1, N$1,"rg:None")</f>
        <v>rg:None</v>
      </c>
      <c r="O86" s="38" t="str">
        <f>IF(Table2[[#This Row],[!Type]]=O$1, O$1,"rg:None")</f>
        <v>rg:None</v>
      </c>
      <c r="P86" s="35" t="str">
        <f>IF(Table2[[#This Row],[!Type]]=P$1, P$1,"rg:None")</f>
        <v>rg:None</v>
      </c>
      <c r="Q86" s="35" t="str">
        <f>IF(Table2[[#This Row],[!Type]]=Q$1, Q$1,"rg:None")</f>
        <v>rg:None</v>
      </c>
      <c r="R86" s="35" t="str">
        <f>IF(Table2[[#This Row],[!Type]]=R$1, R$1,"rg:None")</f>
        <v>rg:None</v>
      </c>
      <c r="S86" s="35" t="str">
        <f>IF(Table2[[#This Row],[!Type]]=S$1, S$1,"rg:None")</f>
        <v>rg:None</v>
      </c>
      <c r="T86" s="38" t="str">
        <f>IF(LEN(Table2[[#This Row],[!Length]]) &gt; 0, Table2[[#This Row],[!Length]], "rg:None")</f>
        <v>rg:None</v>
      </c>
      <c r="U86" s="38" t="str">
        <f>IF(LEN(Table2[[#This Row],[!Name]]) &gt; 0, Table2[[#This Row],[!Name]], "rg:None")</f>
        <v>isOnCommonList</v>
      </c>
      <c r="V86" s="38" t="str">
        <f>IF(LEN(Table2[[#This Row],[!Description]]) &gt; 0, Table2[[#This Row],[!Description]], "rg:None")</f>
        <v>An indicator that a User Interface could use to display two versions of the list - a core list (e.g. Canadian entries only) that have this value as True, and an expanded list that includes all entries, regardless of the value of this field.</v>
      </c>
      <c r="W86" s="38" t="str">
        <f>IF(LEN(Table2[[#This Row],[!FK]])&gt;0,Table2[[#This Row],[!FK]],"rg:None")</f>
        <v>rg:None</v>
      </c>
      <c r="X86" s="38" t="str">
        <f>IF(LEN(concatif2(A:A,Table2[[#This Row],[!Table]],G:G,"Y",D:D,",")) &gt; 0,"rg:[ { 'req' : '"&amp;concatif2(A:A,Table2[[#This Row],[!Table]],G:G,"Y",D:D,"' }, { 'req': '")&amp;"'} ]","rg:[]")</f>
        <v>rg:[ { 'req' : 'id' }, { 'req': 'abbrv' }, { 'req': 'name' }, { 'req': 'effectiveDate'} ]</v>
      </c>
      <c r="Y86" s="38" t="str">
        <f>IF(LEN(Table2[[#This Row],[!Unique]])&gt;0,IF(Table2[[#This Row],[!Type]] = "id", "rg:None","rg:True"),"rg:None")</f>
        <v>rg:None</v>
      </c>
    </row>
    <row r="87" spans="1:25" s="35" customFormat="1" ht="28.8" customHeight="1" x14ac:dyDescent="0.3">
      <c r="A87" s="33" t="s">
        <v>98</v>
      </c>
      <c r="B87" s="33" t="s">
        <v>9</v>
      </c>
      <c r="C87" s="33"/>
      <c r="D87" s="33" t="s">
        <v>52</v>
      </c>
      <c r="E87" s="39" t="s">
        <v>165</v>
      </c>
      <c r="F87" s="34"/>
      <c r="G87" s="37" t="s">
        <v>14</v>
      </c>
      <c r="H87" s="37"/>
      <c r="I87" s="35" t="str">
        <f t="shared" si="13"/>
        <v>Defs</v>
      </c>
      <c r="J87" s="38" t="str">
        <f>IF(Table2[[#This Row],[!Type]]=J$1, J$1,"rg:None")</f>
        <v>rg:None</v>
      </c>
      <c r="K87" s="38" t="str">
        <f>IF(Table2[[#This Row],[!Type]]=K$1, K$1,"rg:None")</f>
        <v>rg:None</v>
      </c>
      <c r="L87" s="38" t="str">
        <f>IF(Table2[[#This Row],[!Type]]=L$1, L$1,"rg:None")</f>
        <v>datetime</v>
      </c>
      <c r="M87" s="38" t="str">
        <f>IF(Table2[[#This Row],[!Type]]=M$1, M$1,"rg:None")</f>
        <v>rg:None</v>
      </c>
      <c r="N87" s="38" t="str">
        <f>IF(Table2[[#This Row],[!Type]]=N$1, N$1,"rg:None")</f>
        <v>rg:None</v>
      </c>
      <c r="O87" s="38" t="str">
        <f>IF(Table2[[#This Row],[!Type]]=O$1, O$1,"rg:None")</f>
        <v>rg:None</v>
      </c>
      <c r="P87" s="35" t="str">
        <f>IF(Table2[[#This Row],[!Type]]=P$1, P$1,"rg:None")</f>
        <v>rg:None</v>
      </c>
      <c r="Q87" s="35" t="str">
        <f>IF(Table2[[#This Row],[!Type]]=Q$1, Q$1,"rg:None")</f>
        <v>rg:None</v>
      </c>
      <c r="R87" s="35" t="str">
        <f>IF(Table2[[#This Row],[!Type]]=R$1, R$1,"rg:None")</f>
        <v>rg:None</v>
      </c>
      <c r="S87" s="35" t="str">
        <f>IF(Table2[[#This Row],[!Type]]=S$1, S$1,"rg:None")</f>
        <v>rg:None</v>
      </c>
      <c r="T87" s="38" t="str">
        <f>IF(LEN(Table2[[#This Row],[!Length]]) &gt; 0, Table2[[#This Row],[!Length]], "rg:None")</f>
        <v>rg:None</v>
      </c>
      <c r="U87" s="38" t="str">
        <f>IF(LEN(Table2[[#This Row],[!Name]]) &gt; 0, Table2[[#This Row],[!Name]], "rg:None")</f>
        <v>effectiveDate</v>
      </c>
      <c r="V87" s="38" t="str">
        <f>IF(LEN(Table2[[#This Row],[!Description]]) &gt; 0, Table2[[#This Row],[!Description]], "rg:None")</f>
        <v>The date upon which the Jurisdiction was activated for use.</v>
      </c>
      <c r="W87" s="38" t="str">
        <f>IF(LEN(Table2[[#This Row],[!FK]])&gt;0,Table2[[#This Row],[!FK]],"rg:None")</f>
        <v>rg:None</v>
      </c>
      <c r="X87" s="38" t="str">
        <f>IF(LEN(concatif2(A:A,Table2[[#This Row],[!Table]],G:G,"Y",D:D,",")) &gt; 0,"rg:[ { 'req' : '"&amp;concatif2(A:A,Table2[[#This Row],[!Table]],G:G,"Y",D:D,"' }, { 'req': '")&amp;"'} ]","rg:[]")</f>
        <v>rg:[ { 'req' : 'id' }, { 'req': 'abbrv' }, { 'req': 'name' }, { 'req': 'effectiveDate'} ]</v>
      </c>
      <c r="Y87" s="38" t="str">
        <f>IF(LEN(Table2[[#This Row],[!Unique]])&gt;0,IF(Table2[[#This Row],[!Type]] = "id", "rg:None","rg:True"),"rg:None")</f>
        <v>rg:None</v>
      </c>
    </row>
    <row r="88" spans="1:25" s="35" customFormat="1" ht="28.8" customHeight="1" x14ac:dyDescent="0.3">
      <c r="A88" s="33" t="s">
        <v>98</v>
      </c>
      <c r="B88" s="33" t="s">
        <v>9</v>
      </c>
      <c r="C88" s="33"/>
      <c r="D88" s="33" t="s">
        <v>53</v>
      </c>
      <c r="E88" s="39" t="s">
        <v>160</v>
      </c>
      <c r="F88" s="34"/>
      <c r="G88" s="37"/>
      <c r="H88" s="37"/>
      <c r="I88" s="35" t="str">
        <f t="shared" si="13"/>
        <v>Defs</v>
      </c>
      <c r="J88" s="38" t="str">
        <f>IF(Table2[[#This Row],[!Type]]=J$1, J$1,"rg:None")</f>
        <v>rg:None</v>
      </c>
      <c r="K88" s="38" t="str">
        <f>IF(Table2[[#This Row],[!Type]]=K$1, K$1,"rg:None")</f>
        <v>rg:None</v>
      </c>
      <c r="L88" s="38" t="str">
        <f>IF(Table2[[#This Row],[!Type]]=L$1, L$1,"rg:None")</f>
        <v>datetime</v>
      </c>
      <c r="M88" s="38" t="str">
        <f>IF(Table2[[#This Row],[!Type]]=M$1, M$1,"rg:None")</f>
        <v>rg:None</v>
      </c>
      <c r="N88" s="38" t="str">
        <f>IF(Table2[[#This Row],[!Type]]=N$1, N$1,"rg:None")</f>
        <v>rg:None</v>
      </c>
      <c r="O88" s="38" t="str">
        <f>IF(Table2[[#This Row],[!Type]]=O$1, O$1,"rg:None")</f>
        <v>rg:None</v>
      </c>
      <c r="P88" s="35" t="str">
        <f>IF(Table2[[#This Row],[!Type]]=P$1, P$1,"rg:None")</f>
        <v>rg:None</v>
      </c>
      <c r="Q88" s="35" t="str">
        <f>IF(Table2[[#This Row],[!Type]]=Q$1, Q$1,"rg:None")</f>
        <v>rg:None</v>
      </c>
      <c r="R88" s="35" t="str">
        <f>IF(Table2[[#This Row],[!Type]]=R$1, R$1,"rg:None")</f>
        <v>rg:None</v>
      </c>
      <c r="S88" s="35" t="str">
        <f>IF(Table2[[#This Row],[!Type]]=S$1, S$1,"rg:None")</f>
        <v>rg:None</v>
      </c>
      <c r="T88" s="38" t="str">
        <f>IF(LEN(Table2[[#This Row],[!Length]]) &gt; 0, Table2[[#This Row],[!Length]], "rg:None")</f>
        <v>rg:None</v>
      </c>
      <c r="U88" s="38" t="str">
        <f>IF(LEN(Table2[[#This Row],[!Name]]) &gt; 0, Table2[[#This Row],[!Name]], "rg:None")</f>
        <v>endDate</v>
      </c>
      <c r="V88" s="38" t="str">
        <f>IF(LEN(Table2[[#This Row],[!Description]]) &gt; 0, Table2[[#This Row],[!Description]], "rg:None")</f>
        <v>The date after which the Jurisdiction will no longer be used. Null if the Jurisdiction is in active use.</v>
      </c>
      <c r="W88" s="38" t="str">
        <f>IF(LEN(Table2[[#This Row],[!FK]])&gt;0,Table2[[#This Row],[!FK]],"rg:None")</f>
        <v>rg:None</v>
      </c>
      <c r="X88" s="38" t="str">
        <f>IF(LEN(concatif2(A:A,Table2[[#This Row],[!Table]],G:G,"Y",D:D,",")) &gt; 0,"rg:[ { 'req' : '"&amp;concatif2(A:A,Table2[[#This Row],[!Table]],G:G,"Y",D:D,"' }, { 'req': '")&amp;"'} ]","rg:[]")</f>
        <v>rg:[ { 'req' : 'id' }, { 'req': 'abbrv' }, { 'req': 'name' }, { 'req': 'effectiveDate'} ]</v>
      </c>
      <c r="Y88" s="38" t="str">
        <f>IF(LEN(Table2[[#This Row],[!Unique]])&gt;0,IF(Table2[[#This Row],[!Type]] = "id", "rg:None","rg:True"),"rg:None")</f>
        <v>rg:None</v>
      </c>
    </row>
    <row r="89" spans="1:25" x14ac:dyDescent="0.3">
      <c r="A89" s="33" t="s">
        <v>114</v>
      </c>
      <c r="B89" s="33" t="s">
        <v>3</v>
      </c>
      <c r="D89" s="33" t="s">
        <v>114</v>
      </c>
      <c r="E89" s="34" t="s">
        <v>115</v>
      </c>
      <c r="F89" s="34" t="s">
        <v>4</v>
      </c>
      <c r="G89" s="37"/>
      <c r="H89" s="37"/>
      <c r="I89" s="35" t="str">
        <f t="shared" ref="I89:I117" si="14">IF(LEN(A89) &gt; 0,"Defs","-")</f>
        <v>Defs</v>
      </c>
      <c r="J89" s="35" t="str">
        <f>IF(Table2[[#This Row],[!Type]]=J$1, J$1,"rg:None")</f>
        <v>rg:None</v>
      </c>
      <c r="K89" s="35" t="str">
        <f>IF(Table2[[#This Row],[!Type]]=K$1, K$1,"rg:None")</f>
        <v>rg:None</v>
      </c>
      <c r="L89" s="35" t="str">
        <f>IF(Table2[[#This Row],[!Type]]=L$1, L$1,"rg:None")</f>
        <v>rg:None</v>
      </c>
      <c r="M89" s="35" t="str">
        <f>IF(Table2[[#This Row],[!Type]]=M$1, M$1,"rg:None")</f>
        <v>rg:None</v>
      </c>
      <c r="N89" s="35" t="str">
        <f>IF(Table2[[#This Row],[!Type]]=N$1, N$1,"rg:None")</f>
        <v>rg:None</v>
      </c>
      <c r="O89" s="35" t="str">
        <f>IF(Table2[[#This Row],[!Type]]=O$1, O$1,"rg:None")</f>
        <v>rg:None</v>
      </c>
      <c r="P89" s="35" t="str">
        <f>IF(Table2[[#This Row],[!Type]]=P$1, P$1,"rg:None")</f>
        <v>rg:None</v>
      </c>
      <c r="Q89" s="35" t="str">
        <f>IF(Table2[[#This Row],[!Type]]=Q$1, Q$1,"rg:None")</f>
        <v>rg:None</v>
      </c>
      <c r="R89" s="35" t="str">
        <f>IF(Table2[[#This Row],[!Type]]=R$1, R$1,"rg:None")</f>
        <v>rg:None</v>
      </c>
      <c r="S89" s="35" t="str">
        <f>IF(Table2[[#This Row],[!Type]]=S$1, S$1,"rg:None")</f>
        <v>table</v>
      </c>
      <c r="T89" s="35" t="str">
        <f>IF(LEN(Table2[[#This Row],[!Length]]) &gt; 0, Table2[[#This Row],[!Length]], "rg:None")</f>
        <v>rg:None</v>
      </c>
      <c r="U89" s="35" t="str">
        <f>IF(LEN(Table2[[#This Row],[!Name]]) &gt; 0, Table2[[#This Row],[!Name]], "rg:None")</f>
        <v>User</v>
      </c>
      <c r="V89" s="35" t="str">
        <f>IF(LEN(Table2[[#This Row],[!Description]]) &gt; 0, Table2[[#This Row],[!Description]], "rg:None")</f>
        <v>Information about the users of the system.</v>
      </c>
      <c r="W89" s="38" t="str">
        <f>IF(LEN(Table2[[#This Row],[!FK]])&gt;0,Table2[[#This Row],[!FK]],"rg:None")</f>
        <v>rg:None</v>
      </c>
      <c r="X89" s="35" t="str">
        <f>IF(LEN(concatif2(A:A,Table2[[#This Row],[!Table]],G:G,"Y",D:D,",")) &gt; 0,"rg:[ { 'req' : '"&amp;concatif2(A:A,Table2[[#This Row],[!Table]],G:G,"Y",D:D,"' }, { 'req': '")&amp;"'} ]","rg:[]")</f>
        <v>rg:[ { 'req' : 'id' }, { 'req': 'givenName' }, { 'req': 'surname' }, { 'req': 'effectiveDate'} ]</v>
      </c>
      <c r="Y89" s="38" t="str">
        <f>IF(LEN(Table2[[#This Row],[!Unique]])&gt;0,IF(Table2[[#This Row],[!Type]] = "id", "rg:None","rg:True"),"rg:None")</f>
        <v>rg:None</v>
      </c>
    </row>
    <row r="90" spans="1:25" x14ac:dyDescent="0.3">
      <c r="A90" s="33" t="s">
        <v>114</v>
      </c>
      <c r="B90" s="33" t="s">
        <v>5</v>
      </c>
      <c r="D90" s="33" t="s">
        <v>5</v>
      </c>
      <c r="E90" s="34" t="s">
        <v>116</v>
      </c>
      <c r="F90" s="34" t="s">
        <v>4</v>
      </c>
      <c r="G90" s="37" t="s">
        <v>14</v>
      </c>
      <c r="H90" s="37" t="s">
        <v>14</v>
      </c>
      <c r="I90" s="35" t="str">
        <f t="shared" si="14"/>
        <v>Defs</v>
      </c>
      <c r="J90" s="35" t="str">
        <f>IF(Table2[[#This Row],[!Type]]=J$1, J$1,"rg:None")</f>
        <v>rg:None</v>
      </c>
      <c r="K90" s="35" t="str">
        <f>IF(Table2[[#This Row],[!Type]]=K$1, K$1,"rg:None")</f>
        <v>rg:None</v>
      </c>
      <c r="L90" s="35" t="str">
        <f>IF(Table2[[#This Row],[!Type]]=L$1, L$1,"rg:None")</f>
        <v>rg:None</v>
      </c>
      <c r="M90" s="35" t="str">
        <f>IF(Table2[[#This Row],[!Type]]=M$1, M$1,"rg:None")</f>
        <v>id</v>
      </c>
      <c r="N90" s="35" t="str">
        <f>IF(Table2[[#This Row],[!Type]]=N$1, N$1,"rg:None")</f>
        <v>rg:None</v>
      </c>
      <c r="O90" s="35" t="str">
        <f>IF(Table2[[#This Row],[!Type]]=O$1, O$1,"rg:None")</f>
        <v>rg:None</v>
      </c>
      <c r="P90" s="35" t="str">
        <f>IF(Table2[[#This Row],[!Type]]=P$1, P$1,"rg:None")</f>
        <v>rg:None</v>
      </c>
      <c r="Q90" s="35" t="str">
        <f>IF(Table2[[#This Row],[!Type]]=Q$1, Q$1,"rg:None")</f>
        <v>rg:None</v>
      </c>
      <c r="R90" s="35" t="str">
        <f>IF(Table2[[#This Row],[!Type]]=R$1, R$1,"rg:None")</f>
        <v>rg:None</v>
      </c>
      <c r="S90" s="35" t="str">
        <f>IF(Table2[[#This Row],[!Type]]=S$1, S$1,"rg:None")</f>
        <v>rg:None</v>
      </c>
      <c r="T90" s="35" t="str">
        <f>IF(LEN(Table2[[#This Row],[!Length]]) &gt; 0, Table2[[#This Row],[!Length]], "rg:None")</f>
        <v>rg:None</v>
      </c>
      <c r="U90" s="35" t="str">
        <f>IF(LEN(Table2[[#This Row],[!Name]]) &gt; 0, Table2[[#This Row],[!Name]], "rg:None")</f>
        <v>id</v>
      </c>
      <c r="V90" s="35" t="str">
        <f>IF(LEN(Table2[[#This Row],[!Description]]) &gt; 0, Table2[[#This Row],[!Description]], "rg:None")</f>
        <v>A system-generated unique identifier for a User.</v>
      </c>
      <c r="W90" s="38" t="str">
        <f>IF(LEN(Table2[[#This Row],[!FK]])&gt;0,Table2[[#This Row],[!FK]],"rg:None")</f>
        <v>rg:None</v>
      </c>
      <c r="X90" s="35" t="str">
        <f>IF(LEN(concatif2(A:A,Table2[[#This Row],[!Table]],G:G,"Y",D:D,",")) &gt; 0,"rg:[ { 'req' : '"&amp;concatif2(A:A,Table2[[#This Row],[!Table]],G:G,"Y",D:D,"' }, { 'req': '")&amp;"'} ]","rg:[]")</f>
        <v>rg:[ { 'req' : 'id' }, { 'req': 'givenName' }, { 'req': 'surname' }, { 'req': 'effectiveDate'} ]</v>
      </c>
      <c r="Y90" s="38" t="str">
        <f>IF(LEN(Table2[[#This Row],[!Unique]])&gt;0,IF(Table2[[#This Row],[!Type]] = "id", "rg:None","rg:True"),"rg:None")</f>
        <v>rg:None</v>
      </c>
    </row>
    <row r="91" spans="1:25" x14ac:dyDescent="0.3">
      <c r="A91" s="33" t="s">
        <v>114</v>
      </c>
      <c r="B91" s="33" t="s">
        <v>6</v>
      </c>
      <c r="C91" s="33">
        <v>100</v>
      </c>
      <c r="D91" s="33" t="s">
        <v>117</v>
      </c>
      <c r="E91" s="34" t="s">
        <v>118</v>
      </c>
      <c r="F91" s="34" t="s">
        <v>4</v>
      </c>
      <c r="G91" s="37" t="s">
        <v>14</v>
      </c>
      <c r="H91" s="37"/>
      <c r="I91" s="35" t="str">
        <f t="shared" si="14"/>
        <v>Defs</v>
      </c>
      <c r="J91" s="35" t="str">
        <f>IF(Table2[[#This Row],[!Type]]=J$1, J$1,"rg:None")</f>
        <v>rg:None</v>
      </c>
      <c r="K91" s="35" t="str">
        <f>IF(Table2[[#This Row],[!Type]]=K$1, K$1,"rg:None")</f>
        <v>rg:None</v>
      </c>
      <c r="L91" s="35" t="str">
        <f>IF(Table2[[#This Row],[!Type]]=L$1, L$1,"rg:None")</f>
        <v>rg:None</v>
      </c>
      <c r="M91" s="35" t="str">
        <f>IF(Table2[[#This Row],[!Type]]=M$1, M$1,"rg:None")</f>
        <v>rg:None</v>
      </c>
      <c r="N91" s="35" t="str">
        <f>IF(Table2[[#This Row],[!Type]]=N$1, N$1,"rg:None")</f>
        <v>rg:None</v>
      </c>
      <c r="O91" s="35" t="str">
        <f>IF(Table2[[#This Row],[!Type]]=O$1, O$1,"rg:None")</f>
        <v>rg:None</v>
      </c>
      <c r="P91" s="35" t="str">
        <f>IF(Table2[[#This Row],[!Type]]=P$1, P$1,"rg:None")</f>
        <v>rg:None</v>
      </c>
      <c r="Q91" s="35" t="str">
        <f>IF(Table2[[#This Row],[!Type]]=Q$1, Q$1,"rg:None")</f>
        <v>rg:None</v>
      </c>
      <c r="R91" s="35" t="str">
        <f>IF(Table2[[#This Row],[!Type]]=R$1, R$1,"rg:None")</f>
        <v>string</v>
      </c>
      <c r="S91" s="35" t="str">
        <f>IF(Table2[[#This Row],[!Type]]=S$1, S$1,"rg:None")</f>
        <v>rg:None</v>
      </c>
      <c r="T91" s="35">
        <f>IF(LEN(Table2[[#This Row],[!Length]]) &gt; 0, Table2[[#This Row],[!Length]], "rg:None")</f>
        <v>100</v>
      </c>
      <c r="U91" s="35" t="str">
        <f>IF(LEN(Table2[[#This Row],[!Name]]) &gt; 0, Table2[[#This Row],[!Name]], "rg:None")</f>
        <v>givenName</v>
      </c>
      <c r="V91" s="35" t="str">
        <f>IF(LEN(Table2[[#This Row],[!Description]]) &gt; 0, Table2[[#This Row],[!Description]], "rg:None")</f>
        <v>Given name of the user.</v>
      </c>
      <c r="W91" s="38" t="str">
        <f>IF(LEN(Table2[[#This Row],[!FK]])&gt;0,Table2[[#This Row],[!FK]],"rg:None")</f>
        <v>rg:None</v>
      </c>
      <c r="X91" s="35" t="str">
        <f>IF(LEN(concatif2(A:A,Table2[[#This Row],[!Table]],G:G,"Y",D:D,",")) &gt; 0,"rg:[ { 'req' : '"&amp;concatif2(A:A,Table2[[#This Row],[!Table]],G:G,"Y",D:D,"' }, { 'req': '")&amp;"'} ]","rg:[]")</f>
        <v>rg:[ { 'req' : 'id' }, { 'req': 'givenName' }, { 'req': 'surname' }, { 'req': 'effectiveDate'} ]</v>
      </c>
      <c r="Y91" s="38" t="str">
        <f>IF(LEN(Table2[[#This Row],[!Unique]])&gt;0,IF(Table2[[#This Row],[!Type]] = "id", "rg:None","rg:True"),"rg:None")</f>
        <v>rg:None</v>
      </c>
    </row>
    <row r="92" spans="1:25" x14ac:dyDescent="0.3">
      <c r="A92" s="33" t="s">
        <v>114</v>
      </c>
      <c r="B92" s="33" t="s">
        <v>6</v>
      </c>
      <c r="C92" s="33">
        <v>100</v>
      </c>
      <c r="D92" s="33" t="s">
        <v>119</v>
      </c>
      <c r="E92" s="34" t="s">
        <v>120</v>
      </c>
      <c r="F92" s="34" t="s">
        <v>4</v>
      </c>
      <c r="G92" s="37" t="s">
        <v>14</v>
      </c>
      <c r="H92" s="37"/>
      <c r="I92" s="35" t="str">
        <f t="shared" si="14"/>
        <v>Defs</v>
      </c>
      <c r="J92" s="35" t="str">
        <f>IF(Table2[[#This Row],[!Type]]=J$1, J$1,"rg:None")</f>
        <v>rg:None</v>
      </c>
      <c r="K92" s="35" t="str">
        <f>IF(Table2[[#This Row],[!Type]]=K$1, K$1,"rg:None")</f>
        <v>rg:None</v>
      </c>
      <c r="L92" s="35" t="str">
        <f>IF(Table2[[#This Row],[!Type]]=L$1, L$1,"rg:None")</f>
        <v>rg:None</v>
      </c>
      <c r="M92" s="35" t="str">
        <f>IF(Table2[[#This Row],[!Type]]=M$1, M$1,"rg:None")</f>
        <v>rg:None</v>
      </c>
      <c r="N92" s="35" t="str">
        <f>IF(Table2[[#This Row],[!Type]]=N$1, N$1,"rg:None")</f>
        <v>rg:None</v>
      </c>
      <c r="O92" s="35" t="str">
        <f>IF(Table2[[#This Row],[!Type]]=O$1, O$1,"rg:None")</f>
        <v>rg:None</v>
      </c>
      <c r="P92" s="35" t="str">
        <f>IF(Table2[[#This Row],[!Type]]=P$1, P$1,"rg:None")</f>
        <v>rg:None</v>
      </c>
      <c r="Q92" s="35" t="str">
        <f>IF(Table2[[#This Row],[!Type]]=Q$1, Q$1,"rg:None")</f>
        <v>rg:None</v>
      </c>
      <c r="R92" s="35" t="str">
        <f>IF(Table2[[#This Row],[!Type]]=R$1, R$1,"rg:None")</f>
        <v>string</v>
      </c>
      <c r="S92" s="35" t="str">
        <f>IF(Table2[[#This Row],[!Type]]=S$1, S$1,"rg:None")</f>
        <v>rg:None</v>
      </c>
      <c r="T92" s="35">
        <f>IF(LEN(Table2[[#This Row],[!Length]]) &gt; 0, Table2[[#This Row],[!Length]], "rg:None")</f>
        <v>100</v>
      </c>
      <c r="U92" s="35" t="str">
        <f>IF(LEN(Table2[[#This Row],[!Name]]) &gt; 0, Table2[[#This Row],[!Name]], "rg:None")</f>
        <v>surname</v>
      </c>
      <c r="V92" s="35" t="str">
        <f>IF(LEN(Table2[[#This Row],[!Description]]) &gt; 0, Table2[[#This Row],[!Description]], "rg:None")</f>
        <v>Surname of the user.</v>
      </c>
      <c r="W92" s="38" t="str">
        <f>IF(LEN(Table2[[#This Row],[!FK]])&gt;0,Table2[[#This Row],[!FK]],"rg:None")</f>
        <v>rg:None</v>
      </c>
      <c r="X92" s="35" t="str">
        <f>IF(LEN(concatif2(A:A,Table2[[#This Row],[!Table]],G:G,"Y",D:D,",")) &gt; 0,"rg:[ { 'req' : '"&amp;concatif2(A:A,Table2[[#This Row],[!Table]],G:G,"Y",D:D,"' }, { 'req': '")&amp;"'} ]","rg:[]")</f>
        <v>rg:[ { 'req' : 'id' }, { 'req': 'givenName' }, { 'req': 'surname' }, { 'req': 'effectiveDate'} ]</v>
      </c>
      <c r="Y92" s="38" t="str">
        <f>IF(LEN(Table2[[#This Row],[!Unique]])&gt;0,IF(Table2[[#This Row],[!Type]] = "id", "rg:None","rg:True"),"rg:None")</f>
        <v>rg:None</v>
      </c>
    </row>
    <row r="93" spans="1:25" x14ac:dyDescent="0.3">
      <c r="A93" s="33" t="s">
        <v>114</v>
      </c>
      <c r="B93" s="33" t="s">
        <v>6</v>
      </c>
      <c r="C93" s="33">
        <v>150</v>
      </c>
      <c r="D93" s="33" t="s">
        <v>121</v>
      </c>
      <c r="E93" s="34" t="s">
        <v>122</v>
      </c>
      <c r="F93" s="34" t="s">
        <v>4</v>
      </c>
      <c r="G93" s="37"/>
      <c r="H93" s="37"/>
      <c r="I93" s="35" t="str">
        <f t="shared" si="14"/>
        <v>Defs</v>
      </c>
      <c r="J93" s="35" t="str">
        <f>IF(Table2[[#This Row],[!Type]]=J$1, J$1,"rg:None")</f>
        <v>rg:None</v>
      </c>
      <c r="K93" s="35" t="str">
        <f>IF(Table2[[#This Row],[!Type]]=K$1, K$1,"rg:None")</f>
        <v>rg:None</v>
      </c>
      <c r="L93" s="35" t="str">
        <f>IF(Table2[[#This Row],[!Type]]=L$1, L$1,"rg:None")</f>
        <v>rg:None</v>
      </c>
      <c r="M93" s="35" t="str">
        <f>IF(Table2[[#This Row],[!Type]]=M$1, M$1,"rg:None")</f>
        <v>rg:None</v>
      </c>
      <c r="N93" s="35" t="str">
        <f>IF(Table2[[#This Row],[!Type]]=N$1, N$1,"rg:None")</f>
        <v>rg:None</v>
      </c>
      <c r="O93" s="35" t="str">
        <f>IF(Table2[[#This Row],[!Type]]=O$1, O$1,"rg:None")</f>
        <v>rg:None</v>
      </c>
      <c r="P93" s="35" t="str">
        <f>IF(Table2[[#This Row],[!Type]]=P$1, P$1,"rg:None")</f>
        <v>rg:None</v>
      </c>
      <c r="Q93" s="35" t="str">
        <f>IF(Table2[[#This Row],[!Type]]=Q$1, Q$1,"rg:None")</f>
        <v>rg:None</v>
      </c>
      <c r="R93" s="35" t="str">
        <f>IF(Table2[[#This Row],[!Type]]=R$1, R$1,"rg:None")</f>
        <v>string</v>
      </c>
      <c r="S93" s="35" t="str">
        <f>IF(Table2[[#This Row],[!Type]]=S$1, S$1,"rg:None")</f>
        <v>rg:None</v>
      </c>
      <c r="T93" s="35">
        <f>IF(LEN(Table2[[#This Row],[!Length]]) &gt; 0, Table2[[#This Row],[!Length]], "rg:None")</f>
        <v>150</v>
      </c>
      <c r="U93" s="35" t="str">
        <f>IF(LEN(Table2[[#This Row],[!Name]]) &gt; 0, Table2[[#This Row],[!Name]], "rg:None")</f>
        <v>email</v>
      </c>
      <c r="V93" s="35" t="str">
        <f>IF(LEN(Table2[[#This Row],[!Description]]) &gt; 0, Table2[[#This Row],[!Description]], "rg:None")</f>
        <v>The email address of the user in the system.</v>
      </c>
      <c r="W93" s="38" t="str">
        <f>IF(LEN(Table2[[#This Row],[!FK]])&gt;0,Table2[[#This Row],[!FK]],"rg:None")</f>
        <v>rg:None</v>
      </c>
      <c r="X93" s="35" t="str">
        <f>IF(LEN(concatif2(A:A,Table2[[#This Row],[!Table]],G:G,"Y",D:D,",")) &gt; 0,"rg:[ { 'req' : '"&amp;concatif2(A:A,Table2[[#This Row],[!Table]],G:G,"Y",D:D,"' }, { 'req': '")&amp;"'} ]","rg:[]")</f>
        <v>rg:[ { 'req' : 'id' }, { 'req': 'givenName' }, { 'req': 'surname' }, { 'req': 'effectiveDate'} ]</v>
      </c>
      <c r="Y93" s="38" t="str">
        <f>IF(LEN(Table2[[#This Row],[!Unique]])&gt;0,IF(Table2[[#This Row],[!Type]] = "id", "rg:None","rg:True"),"rg:None")</f>
        <v>rg:None</v>
      </c>
    </row>
    <row r="94" spans="1:25" x14ac:dyDescent="0.3">
      <c r="A94" s="33" t="s">
        <v>114</v>
      </c>
      <c r="B94" s="33" t="s">
        <v>6</v>
      </c>
      <c r="C94" s="33">
        <v>500</v>
      </c>
      <c r="D94" s="33" t="s">
        <v>123</v>
      </c>
      <c r="E94" s="34" t="s">
        <v>124</v>
      </c>
      <c r="F94" s="34" t="s">
        <v>4</v>
      </c>
      <c r="G94" s="37"/>
      <c r="H94" s="37"/>
      <c r="I94" s="35" t="str">
        <f t="shared" si="14"/>
        <v>Defs</v>
      </c>
      <c r="J94" s="35" t="str">
        <f>IF(Table2[[#This Row],[!Type]]=J$1, J$1,"rg:None")</f>
        <v>rg:None</v>
      </c>
      <c r="K94" s="35" t="str">
        <f>IF(Table2[[#This Row],[!Type]]=K$1, K$1,"rg:None")</f>
        <v>rg:None</v>
      </c>
      <c r="L94" s="35" t="str">
        <f>IF(Table2[[#This Row],[!Type]]=L$1, L$1,"rg:None")</f>
        <v>rg:None</v>
      </c>
      <c r="M94" s="35" t="str">
        <f>IF(Table2[[#This Row],[!Type]]=M$1, M$1,"rg:None")</f>
        <v>rg:None</v>
      </c>
      <c r="N94" s="35" t="str">
        <f>IF(Table2[[#This Row],[!Type]]=N$1, N$1,"rg:None")</f>
        <v>rg:None</v>
      </c>
      <c r="O94" s="35" t="str">
        <f>IF(Table2[[#This Row],[!Type]]=O$1, O$1,"rg:None")</f>
        <v>rg:None</v>
      </c>
      <c r="P94" s="35" t="str">
        <f>IF(Table2[[#This Row],[!Type]]=P$1, P$1,"rg:None")</f>
        <v>rg:None</v>
      </c>
      <c r="Q94" s="35" t="str">
        <f>IF(Table2[[#This Row],[!Type]]=Q$1, Q$1,"rg:None")</f>
        <v>rg:None</v>
      </c>
      <c r="R94" s="35" t="str">
        <f>IF(Table2[[#This Row],[!Type]]=R$1, R$1,"rg:None")</f>
        <v>string</v>
      </c>
      <c r="S94" s="35" t="str">
        <f>IF(Table2[[#This Row],[!Type]]=S$1, S$1,"rg:None")</f>
        <v>rg:None</v>
      </c>
      <c r="T94" s="35">
        <f>IF(LEN(Table2[[#This Row],[!Length]]) &gt; 0, Table2[[#This Row],[!Length]], "rg:None")</f>
        <v>500</v>
      </c>
      <c r="U94" s="35" t="str">
        <f>IF(LEN(Table2[[#This Row],[!Name]]) &gt; 0, Table2[[#This Row],[!Name]], "rg:None")</f>
        <v>userId</v>
      </c>
      <c r="V94" s="35" t="str">
        <f>IF(LEN(Table2[[#This Row],[!Description]]) &gt; 0, Table2[[#This Row],[!Description]], "rg:None")</f>
        <v>The text user ID of the user in the given Authorization Directory.</v>
      </c>
      <c r="W94" s="38" t="str">
        <f>IF(LEN(Table2[[#This Row],[!FK]])&gt;0,Table2[[#This Row],[!FK]],"rg:None")</f>
        <v>rg:None</v>
      </c>
      <c r="X94" s="35" t="str">
        <f>IF(LEN(concatif2(A:A,Table2[[#This Row],[!Table]],G:G,"Y",D:D,",")) &gt; 0,"rg:[ { 'req' : '"&amp;concatif2(A:A,Table2[[#This Row],[!Table]],G:G,"Y",D:D,"' }, { 'req': '")&amp;"'} ]","rg:[]")</f>
        <v>rg:[ { 'req' : 'id' }, { 'req': 'givenName' }, { 'req': 'surname' }, { 'req': 'effectiveDate'} ]</v>
      </c>
      <c r="Y94" s="38" t="str">
        <f>IF(LEN(Table2[[#This Row],[!Unique]])&gt;0,IF(Table2[[#This Row],[!Type]] = "id", "rg:None","rg:True"),"rg:None")</f>
        <v>rg:None</v>
      </c>
    </row>
    <row r="95" spans="1:25" ht="86.4" x14ac:dyDescent="0.3">
      <c r="A95" s="33" t="s">
        <v>114</v>
      </c>
      <c r="B95" s="33" t="s">
        <v>6</v>
      </c>
      <c r="C95" s="33">
        <v>100</v>
      </c>
      <c r="D95" s="33" t="s">
        <v>125</v>
      </c>
      <c r="E95" s="34" t="s">
        <v>126</v>
      </c>
      <c r="F95" s="34" t="s">
        <v>4</v>
      </c>
      <c r="G95" s="37"/>
      <c r="H95" s="37"/>
      <c r="I95" s="35" t="str">
        <f t="shared" si="14"/>
        <v>Defs</v>
      </c>
      <c r="J95" s="35" t="str">
        <f>IF(Table2[[#This Row],[!Type]]=J$1, J$1,"rg:None")</f>
        <v>rg:None</v>
      </c>
      <c r="K95" s="35" t="str">
        <f>IF(Table2[[#This Row],[!Type]]=K$1, K$1,"rg:None")</f>
        <v>rg:None</v>
      </c>
      <c r="L95" s="35" t="str">
        <f>IF(Table2[[#This Row],[!Type]]=L$1, L$1,"rg:None")</f>
        <v>rg:None</v>
      </c>
      <c r="M95" s="35" t="str">
        <f>IF(Table2[[#This Row],[!Type]]=M$1, M$1,"rg:None")</f>
        <v>rg:None</v>
      </c>
      <c r="N95" s="35" t="str">
        <f>IF(Table2[[#This Row],[!Type]]=N$1, N$1,"rg:None")</f>
        <v>rg:None</v>
      </c>
      <c r="O95" s="35" t="str">
        <f>IF(Table2[[#This Row],[!Type]]=O$1, O$1,"rg:None")</f>
        <v>rg:None</v>
      </c>
      <c r="P95" s="35" t="str">
        <f>IF(Table2[[#This Row],[!Type]]=P$1, P$1,"rg:None")</f>
        <v>rg:None</v>
      </c>
      <c r="Q95" s="35" t="str">
        <f>IF(Table2[[#This Row],[!Type]]=Q$1, Q$1,"rg:None")</f>
        <v>rg:None</v>
      </c>
      <c r="R95" s="35" t="str">
        <f>IF(Table2[[#This Row],[!Type]]=R$1, R$1,"rg:None")</f>
        <v>string</v>
      </c>
      <c r="S95" s="35" t="str">
        <f>IF(Table2[[#This Row],[!Type]]=S$1, S$1,"rg:None")</f>
        <v>rg:None</v>
      </c>
      <c r="T95" s="35">
        <f>IF(LEN(Table2[[#This Row],[!Length]]) &gt; 0, Table2[[#This Row],[!Length]], "rg:None")</f>
        <v>100</v>
      </c>
      <c r="U95" s="35" t="str">
        <f>IF(LEN(Table2[[#This Row],[!Name]]) &gt; 0, Table2[[#This Row],[!Name]], "rg:None")</f>
        <v>guid</v>
      </c>
      <c r="V95" s="35"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95" s="38" t="str">
        <f>IF(LEN(Table2[[#This Row],[!FK]])&gt;0,Table2[[#This Row],[!FK]],"rg:None")</f>
        <v>rg:None</v>
      </c>
      <c r="X95" s="35" t="str">
        <f>IF(LEN(concatif2(A:A,Table2[[#This Row],[!Table]],G:G,"Y",D:D,",")) &gt; 0,"rg:[ { 'req' : '"&amp;concatif2(A:A,Table2[[#This Row],[!Table]],G:G,"Y",D:D,"' }, { 'req': '")&amp;"'} ]","rg:[]")</f>
        <v>rg:[ { 'req' : 'id' }, { 'req': 'givenName' }, { 'req': 'surname' }, { 'req': 'effectiveDate'} ]</v>
      </c>
      <c r="Y95" s="38" t="str">
        <f>IF(LEN(Table2[[#This Row],[!Unique]])&gt;0,IF(Table2[[#This Row],[!Type]] = "id", "rg:None","rg:True"),"rg:None")</f>
        <v>rg:None</v>
      </c>
    </row>
    <row r="96" spans="1:25" ht="28.8" x14ac:dyDescent="0.3">
      <c r="A96" s="33" t="s">
        <v>114</v>
      </c>
      <c r="B96" s="33" t="s">
        <v>6</v>
      </c>
      <c r="C96" s="33">
        <v>100</v>
      </c>
      <c r="D96" s="33" t="s">
        <v>127</v>
      </c>
      <c r="E96" s="34" t="s">
        <v>128</v>
      </c>
      <c r="F96" s="34" t="s">
        <v>4</v>
      </c>
      <c r="G96" s="37"/>
      <c r="H96" s="37"/>
      <c r="I96" s="35" t="str">
        <f t="shared" si="14"/>
        <v>Defs</v>
      </c>
      <c r="J96" s="35" t="str">
        <f>IF(Table2[[#This Row],[!Type]]=J$1, J$1,"rg:None")</f>
        <v>rg:None</v>
      </c>
      <c r="K96" s="35" t="str">
        <f>IF(Table2[[#This Row],[!Type]]=K$1, K$1,"rg:None")</f>
        <v>rg:None</v>
      </c>
      <c r="L96" s="35" t="str">
        <f>IF(Table2[[#This Row],[!Type]]=L$1, L$1,"rg:None")</f>
        <v>rg:None</v>
      </c>
      <c r="M96" s="35" t="str">
        <f>IF(Table2[[#This Row],[!Type]]=M$1, M$1,"rg:None")</f>
        <v>rg:None</v>
      </c>
      <c r="N96" s="35" t="str">
        <f>IF(Table2[[#This Row],[!Type]]=N$1, N$1,"rg:None")</f>
        <v>rg:None</v>
      </c>
      <c r="O96" s="35" t="str">
        <f>IF(Table2[[#This Row],[!Type]]=O$1, O$1,"rg:None")</f>
        <v>rg:None</v>
      </c>
      <c r="P96" s="35" t="str">
        <f>IF(Table2[[#This Row],[!Type]]=P$1, P$1,"rg:None")</f>
        <v>rg:None</v>
      </c>
      <c r="Q96" s="35" t="str">
        <f>IF(Table2[[#This Row],[!Type]]=Q$1, Q$1,"rg:None")</f>
        <v>rg:None</v>
      </c>
      <c r="R96" s="35" t="str">
        <f>IF(Table2[[#This Row],[!Type]]=R$1, R$1,"rg:None")</f>
        <v>string</v>
      </c>
      <c r="S96" s="35" t="str">
        <f>IF(Table2[[#This Row],[!Type]]=S$1, S$1,"rg:None")</f>
        <v>rg:None</v>
      </c>
      <c r="T96" s="35">
        <f>IF(LEN(Table2[[#This Row],[!Length]]) &gt; 0, Table2[[#This Row],[!Length]], "rg:None")</f>
        <v>100</v>
      </c>
      <c r="U96" s="35" t="str">
        <f>IF(LEN(Table2[[#This Row],[!Name]]) &gt; 0, Table2[[#This Row],[!Name]], "rg:None")</f>
        <v>authorizationDirectory</v>
      </c>
      <c r="V96" s="35" t="str">
        <f>IF(LEN(Table2[[#This Row],[!Description]]) &gt; 0, Table2[[#This Row],[!Description]], "rg:None")</f>
        <v>The name of the Authorization Directory from with which the user Id is recorded.</v>
      </c>
      <c r="W96" s="38" t="str">
        <f>IF(LEN(Table2[[#This Row],[!FK]])&gt;0,Table2[[#This Row],[!FK]],"rg:None")</f>
        <v>rg:None</v>
      </c>
      <c r="X96" s="35" t="str">
        <f>IF(LEN(concatif2(A:A,Table2[[#This Row],[!Table]],G:G,"Y",D:D,",")) &gt; 0,"rg:[ { 'req' : '"&amp;concatif2(A:A,Table2[[#This Row],[!Table]],G:G,"Y",D:D,"' }, { 'req': '")&amp;"'} ]","rg:[]")</f>
        <v>rg:[ { 'req' : 'id' }, { 'req': 'givenName' }, { 'req': 'surname' }, { 'req': 'effectiveDate'} ]</v>
      </c>
      <c r="Y96" s="38" t="str">
        <f>IF(LEN(Table2[[#This Row],[!Unique]])&gt;0,IF(Table2[[#This Row],[!Type]] = "id", "rg:None","rg:True"),"rg:None")</f>
        <v>rg:None</v>
      </c>
    </row>
    <row r="97" spans="1:25" x14ac:dyDescent="0.3">
      <c r="A97" s="33" t="s">
        <v>114</v>
      </c>
      <c r="B97" s="33" t="s">
        <v>9</v>
      </c>
      <c r="D97" s="33" t="s">
        <v>52</v>
      </c>
      <c r="E97" s="39" t="s">
        <v>170</v>
      </c>
      <c r="F97" s="34"/>
      <c r="G97" s="37" t="s">
        <v>14</v>
      </c>
      <c r="H97" s="37"/>
      <c r="I97" s="35" t="str">
        <f>IF(LEN(A97) &gt; 0,"Defs","-")</f>
        <v>Defs</v>
      </c>
      <c r="J97" s="35" t="str">
        <f>IF(Table2[[#This Row],[!Type]]=J$1, J$1,"rg:None")</f>
        <v>rg:None</v>
      </c>
      <c r="K97" s="35" t="str">
        <f>IF(Table2[[#This Row],[!Type]]=K$1, K$1,"rg:None")</f>
        <v>rg:None</v>
      </c>
      <c r="L97" s="35" t="str">
        <f>IF(Table2[[#This Row],[!Type]]=L$1, L$1,"rg:None")</f>
        <v>datetime</v>
      </c>
      <c r="M97" s="35" t="str">
        <f>IF(Table2[[#This Row],[!Type]]=M$1, M$1,"rg:None")</f>
        <v>rg:None</v>
      </c>
      <c r="N97" s="35" t="str">
        <f>IF(Table2[[#This Row],[!Type]]=N$1, N$1,"rg:None")</f>
        <v>rg:None</v>
      </c>
      <c r="O97" s="35" t="str">
        <f>IF(Table2[[#This Row],[!Type]]=O$1, O$1,"rg:None")</f>
        <v>rg:None</v>
      </c>
      <c r="P97" s="35" t="str">
        <f>IF(Table2[[#This Row],[!Type]]=P$1, P$1,"rg:None")</f>
        <v>rg:None</v>
      </c>
      <c r="Q97" s="35" t="str">
        <f>IF(Table2[[#This Row],[!Type]]=Q$1, Q$1,"rg:None")</f>
        <v>rg:None</v>
      </c>
      <c r="R97" s="35" t="str">
        <f>IF(Table2[[#This Row],[!Type]]=R$1, R$1,"rg:None")</f>
        <v>rg:None</v>
      </c>
      <c r="S97" s="35" t="str">
        <f>IF(Table2[[#This Row],[!Type]]=S$1, S$1,"rg:None")</f>
        <v>rg:None</v>
      </c>
      <c r="T97" s="35" t="str">
        <f>IF(LEN(Table2[[#This Row],[!Length]]) &gt; 0, Table2[[#This Row],[!Length]], "rg:None")</f>
        <v>rg:None</v>
      </c>
      <c r="U97" s="35" t="str">
        <f>IF(LEN(Table2[[#This Row],[!Name]]) &gt; 0, Table2[[#This Row],[!Name]], "rg:None")</f>
        <v>effectiveDate</v>
      </c>
      <c r="V97" s="35" t="str">
        <f>IF(LEN(Table2[[#This Row],[!Description]]) &gt; 0, Table2[[#This Row],[!Description]], "rg:None")</f>
        <v>The date upon which the User account was activated for use.</v>
      </c>
      <c r="W97" s="38" t="str">
        <f>IF(LEN(Table2[[#This Row],[!FK]])&gt;0,Table2[[#This Row],[!FK]],"rg:None")</f>
        <v>rg:None</v>
      </c>
      <c r="X97" s="35" t="str">
        <f>IF(LEN(concatif2(A:A,Table2[[#This Row],[!Table]],G:G,"Y",D:D,",")) &gt; 0,"rg:[ { 'req' : '"&amp;concatif2(A:A,Table2[[#This Row],[!Table]],G:G,"Y",D:D,"' }, { 'req': '")&amp;"'} ]","rg:[]")</f>
        <v>rg:[ { 'req' : 'id' }, { 'req': 'givenName' }, { 'req': 'surname' }, { 'req': 'effectiveDate'} ]</v>
      </c>
      <c r="Y97" s="38" t="str">
        <f>IF(LEN(Table2[[#This Row],[!Unique]])&gt;0,IF(Table2[[#This Row],[!Type]] = "id", "rg:None","rg:True"),"rg:None")</f>
        <v>rg:None</v>
      </c>
    </row>
    <row r="98" spans="1:25" x14ac:dyDescent="0.3">
      <c r="A98" s="33" t="s">
        <v>114</v>
      </c>
      <c r="B98" s="33" t="s">
        <v>9</v>
      </c>
      <c r="D98" s="33" t="s">
        <v>53</v>
      </c>
      <c r="E98" s="39" t="s">
        <v>171</v>
      </c>
      <c r="F98" s="34"/>
      <c r="G98" s="37"/>
      <c r="H98" s="37"/>
      <c r="I98" s="35" t="str">
        <f>IF(LEN(A98) &gt; 0,"Defs","-")</f>
        <v>Defs</v>
      </c>
      <c r="J98" s="35" t="str">
        <f>IF(Table2[[#This Row],[!Type]]=J$1, J$1,"rg:None")</f>
        <v>rg:None</v>
      </c>
      <c r="K98" s="35" t="str">
        <f>IF(Table2[[#This Row],[!Type]]=K$1, K$1,"rg:None")</f>
        <v>rg:None</v>
      </c>
      <c r="L98" s="35" t="str">
        <f>IF(Table2[[#This Row],[!Type]]=L$1, L$1,"rg:None")</f>
        <v>datetime</v>
      </c>
      <c r="M98" s="35" t="str">
        <f>IF(Table2[[#This Row],[!Type]]=M$1, M$1,"rg:None")</f>
        <v>rg:None</v>
      </c>
      <c r="N98" s="35" t="str">
        <f>IF(Table2[[#This Row],[!Type]]=N$1, N$1,"rg:None")</f>
        <v>rg:None</v>
      </c>
      <c r="O98" s="35" t="str">
        <f>IF(Table2[[#This Row],[!Type]]=O$1, O$1,"rg:None")</f>
        <v>rg:None</v>
      </c>
      <c r="P98" s="35" t="str">
        <f>IF(Table2[[#This Row],[!Type]]=P$1, P$1,"rg:None")</f>
        <v>rg:None</v>
      </c>
      <c r="Q98" s="35" t="str">
        <f>IF(Table2[[#This Row],[!Type]]=Q$1, Q$1,"rg:None")</f>
        <v>rg:None</v>
      </c>
      <c r="R98" s="35" t="str">
        <f>IF(Table2[[#This Row],[!Type]]=R$1, R$1,"rg:None")</f>
        <v>rg:None</v>
      </c>
      <c r="S98" s="35" t="str">
        <f>IF(Table2[[#This Row],[!Type]]=S$1, S$1,"rg:None")</f>
        <v>rg:None</v>
      </c>
      <c r="T98" s="35" t="str">
        <f>IF(LEN(Table2[[#This Row],[!Length]]) &gt; 0, Table2[[#This Row],[!Length]], "rg:None")</f>
        <v>rg:None</v>
      </c>
      <c r="U98" s="35" t="str">
        <f>IF(LEN(Table2[[#This Row],[!Name]]) &gt; 0, Table2[[#This Row],[!Name]], "rg:None")</f>
        <v>endDate</v>
      </c>
      <c r="V98" s="35" t="str">
        <f>IF(LEN(Table2[[#This Row],[!Description]]) &gt; 0, Table2[[#This Row],[!Description]], "rg:None")</f>
        <v>The date after which the User could no longer be used.</v>
      </c>
      <c r="W98" s="38" t="str">
        <f>IF(LEN(Table2[[#This Row],[!FK]])&gt;0,Table2[[#This Row],[!FK]],"rg:None")</f>
        <v>rg:None</v>
      </c>
      <c r="X98" s="35" t="str">
        <f>IF(LEN(concatif2(A:A,Table2[[#This Row],[!Table]],G:G,"Y",D:D,",")) &gt; 0,"rg:[ { 'req' : '"&amp;concatif2(A:A,Table2[[#This Row],[!Table]],G:G,"Y",D:D,"' }, { 'req': '")&amp;"'} ]","rg:[]")</f>
        <v>rg:[ { 'req' : 'id' }, { 'req': 'givenName' }, { 'req': 'surname' }, { 'req': 'effectiveDate'} ]</v>
      </c>
      <c r="Y98" s="38" t="str">
        <f>IF(LEN(Table2[[#This Row],[!Unique]])&gt;0,IF(Table2[[#This Row],[!Type]] = "id", "rg:None","rg:True"),"rg:None")</f>
        <v>rg:None</v>
      </c>
    </row>
    <row r="99" spans="1:25" ht="57.6" x14ac:dyDescent="0.3">
      <c r="A99" s="33" t="s">
        <v>129</v>
      </c>
      <c r="B99" s="33" t="s">
        <v>3</v>
      </c>
      <c r="D99" s="33" t="s">
        <v>129</v>
      </c>
      <c r="E99" s="34" t="s">
        <v>130</v>
      </c>
      <c r="F99" s="34" t="s">
        <v>4</v>
      </c>
      <c r="G99" s="37"/>
      <c r="H99" s="37"/>
      <c r="I99" s="35" t="str">
        <f t="shared" si="14"/>
        <v>Defs</v>
      </c>
      <c r="J99" s="35" t="str">
        <f>IF(Table2[[#This Row],[!Type]]=J$1, J$1,"rg:None")</f>
        <v>rg:None</v>
      </c>
      <c r="K99" s="35" t="str">
        <f>IF(Table2[[#This Row],[!Type]]=K$1, K$1,"rg:None")</f>
        <v>rg:None</v>
      </c>
      <c r="L99" s="35" t="str">
        <f>IF(Table2[[#This Row],[!Type]]=L$1, L$1,"rg:None")</f>
        <v>rg:None</v>
      </c>
      <c r="M99" s="35" t="str">
        <f>IF(Table2[[#This Row],[!Type]]=M$1, M$1,"rg:None")</f>
        <v>rg:None</v>
      </c>
      <c r="N99" s="35" t="str">
        <f>IF(Table2[[#This Row],[!Type]]=N$1, N$1,"rg:None")</f>
        <v>rg:None</v>
      </c>
      <c r="O99" s="35" t="str">
        <f>IF(Table2[[#This Row],[!Type]]=O$1, O$1,"rg:None")</f>
        <v>rg:None</v>
      </c>
      <c r="P99" s="35" t="str">
        <f>IF(Table2[[#This Row],[!Type]]=P$1, P$1,"rg:None")</f>
        <v>rg:None</v>
      </c>
      <c r="Q99" s="35" t="str">
        <f>IF(Table2[[#This Row],[!Type]]=Q$1, Q$1,"rg:None")</f>
        <v>rg:None</v>
      </c>
      <c r="R99" s="35" t="str">
        <f>IF(Table2[[#This Row],[!Type]]=R$1, R$1,"rg:None")</f>
        <v>rg:None</v>
      </c>
      <c r="S99" s="35" t="str">
        <f>IF(Table2[[#This Row],[!Type]]=S$1, S$1,"rg:None")</f>
        <v>table</v>
      </c>
      <c r="T99" s="35" t="str">
        <f>IF(LEN(Table2[[#This Row],[!Length]]) &gt; 0, Table2[[#This Row],[!Length]], "rg:None")</f>
        <v>rg:None</v>
      </c>
      <c r="U99" s="35" t="str">
        <f>IF(LEN(Table2[[#This Row],[!Name]]) &gt; 0, Table2[[#This Row],[!Name]], "rg:None")</f>
        <v>Role</v>
      </c>
      <c r="V99" s="35"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99" s="38" t="str">
        <f>IF(LEN(Table2[[#This Row],[!FK]])&gt;0,Table2[[#This Row],[!FK]],"rg:None")</f>
        <v>rg:None</v>
      </c>
      <c r="X99" s="35" t="str">
        <f>IF(LEN(concatif2(A:A,Table2[[#This Row],[!Table]],G:G,"Y",D:D,",")) &gt; 0,"rg:[ { 'req' : '"&amp;concatif2(A:A,Table2[[#This Row],[!Table]],G:G,"Y",D:D,"' }, { 'req': '")&amp;"'} ]","rg:[]")</f>
        <v>rg:[ { 'req' : 'id' }, { 'req': 'name' }, { 'req': 'description'} ]</v>
      </c>
      <c r="Y99" s="38" t="str">
        <f>IF(LEN(Table2[[#This Row],[!Unique]])&gt;0,IF(Table2[[#This Row],[!Type]] = "id", "rg:None","rg:True"),"rg:None")</f>
        <v>rg:None</v>
      </c>
    </row>
    <row r="100" spans="1:25" x14ac:dyDescent="0.3">
      <c r="A100" s="33" t="s">
        <v>129</v>
      </c>
      <c r="B100" s="33" t="s">
        <v>5</v>
      </c>
      <c r="D100" s="33" t="s">
        <v>5</v>
      </c>
      <c r="E100" s="34" t="s">
        <v>131</v>
      </c>
      <c r="F100" s="34" t="s">
        <v>4</v>
      </c>
      <c r="G100" s="37" t="s">
        <v>14</v>
      </c>
      <c r="H100" s="37" t="s">
        <v>14</v>
      </c>
      <c r="I100" s="35" t="str">
        <f t="shared" si="14"/>
        <v>Defs</v>
      </c>
      <c r="J100" s="35" t="str">
        <f>IF(Table2[[#This Row],[!Type]]=J$1, J$1,"rg:None")</f>
        <v>rg:None</v>
      </c>
      <c r="K100" s="35" t="str">
        <f>IF(Table2[[#This Row],[!Type]]=K$1, K$1,"rg:None")</f>
        <v>rg:None</v>
      </c>
      <c r="L100" s="35" t="str">
        <f>IF(Table2[[#This Row],[!Type]]=L$1, L$1,"rg:None")</f>
        <v>rg:None</v>
      </c>
      <c r="M100" s="35" t="str">
        <f>IF(Table2[[#This Row],[!Type]]=M$1, M$1,"rg:None")</f>
        <v>id</v>
      </c>
      <c r="N100" s="35" t="str">
        <f>IF(Table2[[#This Row],[!Type]]=N$1, N$1,"rg:None")</f>
        <v>rg:None</v>
      </c>
      <c r="O100" s="35" t="str">
        <f>IF(Table2[[#This Row],[!Type]]=O$1, O$1,"rg:None")</f>
        <v>rg:None</v>
      </c>
      <c r="P100" s="35" t="str">
        <f>IF(Table2[[#This Row],[!Type]]=P$1, P$1,"rg:None")</f>
        <v>rg:None</v>
      </c>
      <c r="Q100" s="35" t="str">
        <f>IF(Table2[[#This Row],[!Type]]=Q$1, Q$1,"rg:None")</f>
        <v>rg:None</v>
      </c>
      <c r="R100" s="35" t="str">
        <f>IF(Table2[[#This Row],[!Type]]=R$1, R$1,"rg:None")</f>
        <v>rg:None</v>
      </c>
      <c r="S100" s="35" t="str">
        <f>IF(Table2[[#This Row],[!Type]]=S$1, S$1,"rg:None")</f>
        <v>rg:None</v>
      </c>
      <c r="T100" s="35" t="str">
        <f>IF(LEN(Table2[[#This Row],[!Length]]) &gt; 0, Table2[[#This Row],[!Length]], "rg:None")</f>
        <v>rg:None</v>
      </c>
      <c r="U100" s="35" t="str">
        <f>IF(LEN(Table2[[#This Row],[!Name]]) &gt; 0, Table2[[#This Row],[!Name]], "rg:None")</f>
        <v>id</v>
      </c>
      <c r="V100" s="35" t="str">
        <f>IF(LEN(Table2[[#This Row],[!Description]]) &gt; 0, Table2[[#This Row],[!Description]], "rg:None")</f>
        <v>A system-generated unique identifier for a Role.</v>
      </c>
      <c r="W100" s="38" t="str">
        <f>IF(LEN(Table2[[#This Row],[!FK]])&gt;0,Table2[[#This Row],[!FK]],"rg:None")</f>
        <v>rg:None</v>
      </c>
      <c r="X100" s="35" t="str">
        <f>IF(LEN(concatif2(A:A,Table2[[#This Row],[!Table]],G:G,"Y",D:D,",")) &gt; 0,"rg:[ { 'req' : '"&amp;concatif2(A:A,Table2[[#This Row],[!Table]],G:G,"Y",D:D,"' }, { 'req': '")&amp;"'} ]","rg:[]")</f>
        <v>rg:[ { 'req' : 'id' }, { 'req': 'name' }, { 'req': 'description'} ]</v>
      </c>
      <c r="Y100" s="38" t="str">
        <f>IF(LEN(Table2[[#This Row],[!Unique]])&gt;0,IF(Table2[[#This Row],[!Type]] = "id", "rg:None","rg:True"),"rg:None")</f>
        <v>rg:None</v>
      </c>
    </row>
    <row r="101" spans="1:25" ht="28.8" x14ac:dyDescent="0.3">
      <c r="A101" s="33" t="s">
        <v>129</v>
      </c>
      <c r="B101" s="33" t="s">
        <v>6</v>
      </c>
      <c r="C101" s="33">
        <v>200</v>
      </c>
      <c r="D101" s="33" t="s">
        <v>12</v>
      </c>
      <c r="E101" s="34" t="s">
        <v>132</v>
      </c>
      <c r="F101" s="34" t="s">
        <v>4</v>
      </c>
      <c r="G101" s="37" t="s">
        <v>14</v>
      </c>
      <c r="H101" s="37"/>
      <c r="I101" s="35" t="str">
        <f t="shared" si="14"/>
        <v>Defs</v>
      </c>
      <c r="J101" s="35" t="str">
        <f>IF(Table2[[#This Row],[!Type]]=J$1, J$1,"rg:None")</f>
        <v>rg:None</v>
      </c>
      <c r="K101" s="35" t="str">
        <f>IF(Table2[[#This Row],[!Type]]=K$1, K$1,"rg:None")</f>
        <v>rg:None</v>
      </c>
      <c r="L101" s="35" t="str">
        <f>IF(Table2[[#This Row],[!Type]]=L$1, L$1,"rg:None")</f>
        <v>rg:None</v>
      </c>
      <c r="M101" s="35" t="str">
        <f>IF(Table2[[#This Row],[!Type]]=M$1, M$1,"rg:None")</f>
        <v>rg:None</v>
      </c>
      <c r="N101" s="35" t="str">
        <f>IF(Table2[[#This Row],[!Type]]=N$1, N$1,"rg:None")</f>
        <v>rg:None</v>
      </c>
      <c r="O101" s="35" t="str">
        <f>IF(Table2[[#This Row],[!Type]]=O$1, O$1,"rg:None")</f>
        <v>rg:None</v>
      </c>
      <c r="P101" s="35" t="str">
        <f>IF(Table2[[#This Row],[!Type]]=P$1, P$1,"rg:None")</f>
        <v>rg:None</v>
      </c>
      <c r="Q101" s="35" t="str">
        <f>IF(Table2[[#This Row],[!Type]]=Q$1, Q$1,"rg:None")</f>
        <v>rg:None</v>
      </c>
      <c r="R101" s="35" t="str">
        <f>IF(Table2[[#This Row],[!Type]]=R$1, R$1,"rg:None")</f>
        <v>string</v>
      </c>
      <c r="S101" s="35" t="str">
        <f>IF(Table2[[#This Row],[!Type]]=S$1, S$1,"rg:None")</f>
        <v>rg:None</v>
      </c>
      <c r="T101" s="35">
        <f>IF(LEN(Table2[[#This Row],[!Length]]) &gt; 0, Table2[[#This Row],[!Length]], "rg:None")</f>
        <v>200</v>
      </c>
      <c r="U101" s="35" t="str">
        <f>IF(LEN(Table2[[#This Row],[!Name]]) &gt; 0, Table2[[#This Row],[!Name]], "rg:None")</f>
        <v>name</v>
      </c>
      <c r="V101" s="35" t="str">
        <f>IF(LEN(Table2[[#This Row],[!Description]]) &gt; 0, Table2[[#This Row],[!Description]], "rg:None")</f>
        <v>The name of the Role, as established by the user creating the role.</v>
      </c>
      <c r="W101" s="38" t="str">
        <f>IF(LEN(Table2[[#This Row],[!FK]])&gt;0,Table2[[#This Row],[!FK]],"rg:None")</f>
        <v>rg:None</v>
      </c>
      <c r="X101" s="35" t="str">
        <f>IF(LEN(concatif2(A:A,Table2[[#This Row],[!Table]],G:G,"Y",D:D,",")) &gt; 0,"rg:[ { 'req' : '"&amp;concatif2(A:A,Table2[[#This Row],[!Table]],G:G,"Y",D:D,"' }, { 'req': '")&amp;"'} ]","rg:[]")</f>
        <v>rg:[ { 'req' : 'id' }, { 'req': 'name' }, { 'req': 'description'} ]</v>
      </c>
      <c r="Y101" s="38" t="str">
        <f>IF(LEN(Table2[[#This Row],[!Unique]])&gt;0,IF(Table2[[#This Row],[!Type]] = "id", "rg:None","rg:True"),"rg:None")</f>
        <v>rg:None</v>
      </c>
    </row>
    <row r="102" spans="1:25" ht="28.8" x14ac:dyDescent="0.3">
      <c r="A102" s="33" t="s">
        <v>129</v>
      </c>
      <c r="B102" s="33" t="s">
        <v>6</v>
      </c>
      <c r="C102" s="33">
        <v>1000</v>
      </c>
      <c r="D102" s="33" t="s">
        <v>11</v>
      </c>
      <c r="E102" s="34" t="s">
        <v>133</v>
      </c>
      <c r="F102" s="34" t="s">
        <v>4</v>
      </c>
      <c r="G102" s="37" t="s">
        <v>14</v>
      </c>
      <c r="H102" s="37"/>
      <c r="I102" s="35" t="str">
        <f t="shared" si="14"/>
        <v>Defs</v>
      </c>
      <c r="J102" s="35" t="str">
        <f>IF(Table2[[#This Row],[!Type]]=J$1, J$1,"rg:None")</f>
        <v>rg:None</v>
      </c>
      <c r="K102" s="35" t="str">
        <f>IF(Table2[[#This Row],[!Type]]=K$1, K$1,"rg:None")</f>
        <v>rg:None</v>
      </c>
      <c r="L102" s="35" t="str">
        <f>IF(Table2[[#This Row],[!Type]]=L$1, L$1,"rg:None")</f>
        <v>rg:None</v>
      </c>
      <c r="M102" s="35" t="str">
        <f>IF(Table2[[#This Row],[!Type]]=M$1, M$1,"rg:None")</f>
        <v>rg:None</v>
      </c>
      <c r="N102" s="35" t="str">
        <f>IF(Table2[[#This Row],[!Type]]=N$1, N$1,"rg:None")</f>
        <v>rg:None</v>
      </c>
      <c r="O102" s="35" t="str">
        <f>IF(Table2[[#This Row],[!Type]]=O$1, O$1,"rg:None")</f>
        <v>rg:None</v>
      </c>
      <c r="P102" s="35" t="str">
        <f>IF(Table2[[#This Row],[!Type]]=P$1, P$1,"rg:None")</f>
        <v>rg:None</v>
      </c>
      <c r="Q102" s="35" t="str">
        <f>IF(Table2[[#This Row],[!Type]]=Q$1, Q$1,"rg:None")</f>
        <v>rg:None</v>
      </c>
      <c r="R102" s="35" t="str">
        <f>IF(Table2[[#This Row],[!Type]]=R$1, R$1,"rg:None")</f>
        <v>string</v>
      </c>
      <c r="S102" s="35" t="str">
        <f>IF(Table2[[#This Row],[!Type]]=S$1, S$1,"rg:None")</f>
        <v>rg:None</v>
      </c>
      <c r="T102" s="35">
        <f>IF(LEN(Table2[[#This Row],[!Length]]) &gt; 0, Table2[[#This Row],[!Length]], "rg:None")</f>
        <v>1000</v>
      </c>
      <c r="U102" s="35" t="str">
        <f>IF(LEN(Table2[[#This Row],[!Name]]) &gt; 0, Table2[[#This Row],[!Name]], "rg:None")</f>
        <v>description</v>
      </c>
      <c r="V102" s="35" t="str">
        <f>IF(LEN(Table2[[#This Row],[!Description]]) &gt; 0, Table2[[#This Row],[!Description]], "rg:None")</f>
        <v>A description of the role as set by the user creating/updating the role.</v>
      </c>
      <c r="W102" s="38" t="str">
        <f>IF(LEN(Table2[[#This Row],[!FK]])&gt;0,Table2[[#This Row],[!FK]],"rg:None")</f>
        <v>rg:None</v>
      </c>
      <c r="X102" s="35" t="str">
        <f>IF(LEN(concatif2(A:A,Table2[[#This Row],[!Table]],G:G,"Y",D:D,",")) &gt; 0,"rg:[ { 'req' : '"&amp;concatif2(A:A,Table2[[#This Row],[!Table]],G:G,"Y",D:D,"' }, { 'req': '")&amp;"'} ]","rg:[]")</f>
        <v>rg:[ { 'req' : 'id' }, { 'req': 'name' }, { 'req': 'description'} ]</v>
      </c>
      <c r="Y102" s="38" t="str">
        <f>IF(LEN(Table2[[#This Row],[!Unique]])&gt;0,IF(Table2[[#This Row],[!Type]] = "id", "rg:None","rg:True"),"rg:None")</f>
        <v>rg:None</v>
      </c>
    </row>
    <row r="103" spans="1:25" x14ac:dyDescent="0.3">
      <c r="A103" s="33" t="s">
        <v>134</v>
      </c>
      <c r="B103" s="33" t="s">
        <v>3</v>
      </c>
      <c r="D103" s="33" t="s">
        <v>134</v>
      </c>
      <c r="E103" s="34" t="s">
        <v>135</v>
      </c>
      <c r="F103" s="34"/>
      <c r="G103" s="37"/>
      <c r="H103" s="37"/>
      <c r="I103" s="35" t="str">
        <f t="shared" si="14"/>
        <v>Defs</v>
      </c>
      <c r="J103" s="35" t="str">
        <f>IF(Table2[[#This Row],[!Type]]=J$1, J$1,"rg:None")</f>
        <v>rg:None</v>
      </c>
      <c r="K103" s="35" t="str">
        <f>IF(Table2[[#This Row],[!Type]]=K$1, K$1,"rg:None")</f>
        <v>rg:None</v>
      </c>
      <c r="L103" s="35" t="str">
        <f>IF(Table2[[#This Row],[!Type]]=L$1, L$1,"rg:None")</f>
        <v>rg:None</v>
      </c>
      <c r="M103" s="35" t="str">
        <f>IF(Table2[[#This Row],[!Type]]=M$1, M$1,"rg:None")</f>
        <v>rg:None</v>
      </c>
      <c r="N103" s="35" t="str">
        <f>IF(Table2[[#This Row],[!Type]]=N$1, N$1,"rg:None")</f>
        <v>rg:None</v>
      </c>
      <c r="O103" s="35" t="str">
        <f>IF(Table2[[#This Row],[!Type]]=O$1, O$1,"rg:None")</f>
        <v>rg:None</v>
      </c>
      <c r="P103" s="35" t="str">
        <f>IF(Table2[[#This Row],[!Type]]=P$1, P$1,"rg:None")</f>
        <v>rg:None</v>
      </c>
      <c r="Q103" s="35" t="str">
        <f>IF(Table2[[#This Row],[!Type]]=Q$1, Q$1,"rg:None")</f>
        <v>rg:None</v>
      </c>
      <c r="R103" s="35" t="str">
        <f>IF(Table2[[#This Row],[!Type]]=R$1, R$1,"rg:None")</f>
        <v>rg:None</v>
      </c>
      <c r="S103" s="35" t="str">
        <f>IF(Table2[[#This Row],[!Type]]=S$1, S$1,"rg:None")</f>
        <v>table</v>
      </c>
      <c r="T103" s="35" t="str">
        <f>IF(LEN(Table2[[#This Row],[!Length]]) &gt; 0, Table2[[#This Row],[!Length]], "rg:None")</f>
        <v>rg:None</v>
      </c>
      <c r="U103" s="35" t="str">
        <f>IF(LEN(Table2[[#This Row],[!Name]]) &gt; 0, Table2[[#This Row],[!Name]], "rg:None")</f>
        <v>UserRole</v>
      </c>
      <c r="V103" s="35" t="str">
        <f>IF(LEN(Table2[[#This Row],[!Description]]) &gt; 0, Table2[[#This Row],[!Description]], "rg:None")</f>
        <v>A link defining the Roles associated with each User.</v>
      </c>
      <c r="W103" s="38" t="str">
        <f>IF(LEN(Table2[[#This Row],[!FK]])&gt;0,Table2[[#This Row],[!FK]],"rg:None")</f>
        <v>rg:None</v>
      </c>
      <c r="X103" s="35" t="str">
        <f>IF(LEN(concatif2(A:A,Table2[[#This Row],[!Table]],G:G,"Y",D:D,",")) &gt; 0,"rg:[ { 'req' : '"&amp;concatif2(A:A,Table2[[#This Row],[!Table]],G:G,"Y",D:D,"' }, { 'req': '")&amp;"'} ]","rg:[]")</f>
        <v>rg:[ { 'req' : 'id' }, { 'req': 'userId' }, { 'req': 'roleId' }, { 'req': 'effectiveDate'} ]</v>
      </c>
      <c r="Y103" s="38" t="str">
        <f>IF(LEN(Table2[[#This Row],[!Unique]])&gt;0,IF(Table2[[#This Row],[!Type]] = "id", "rg:None","rg:True"),"rg:None")</f>
        <v>rg:None</v>
      </c>
    </row>
    <row r="104" spans="1:25" x14ac:dyDescent="0.3">
      <c r="A104" s="33" t="s">
        <v>134</v>
      </c>
      <c r="B104" s="33" t="s">
        <v>5</v>
      </c>
      <c r="D104" s="33" t="s">
        <v>5</v>
      </c>
      <c r="E104" s="34" t="s">
        <v>136</v>
      </c>
      <c r="F104" s="34"/>
      <c r="G104" s="37" t="s">
        <v>14</v>
      </c>
      <c r="H104" s="37" t="s">
        <v>14</v>
      </c>
      <c r="I104" s="35" t="str">
        <f t="shared" si="14"/>
        <v>Defs</v>
      </c>
      <c r="J104" s="35" t="str">
        <f>IF(Table2[[#This Row],[!Type]]=J$1, J$1,"rg:None")</f>
        <v>rg:None</v>
      </c>
      <c r="K104" s="35" t="str">
        <f>IF(Table2[[#This Row],[!Type]]=K$1, K$1,"rg:None")</f>
        <v>rg:None</v>
      </c>
      <c r="L104" s="35" t="str">
        <f>IF(Table2[[#This Row],[!Type]]=L$1, L$1,"rg:None")</f>
        <v>rg:None</v>
      </c>
      <c r="M104" s="35" t="str">
        <f>IF(Table2[[#This Row],[!Type]]=M$1, M$1,"rg:None")</f>
        <v>id</v>
      </c>
      <c r="N104" s="35" t="str">
        <f>IF(Table2[[#This Row],[!Type]]=N$1, N$1,"rg:None")</f>
        <v>rg:None</v>
      </c>
      <c r="O104" s="35" t="str">
        <f>IF(Table2[[#This Row],[!Type]]=O$1, O$1,"rg:None")</f>
        <v>rg:None</v>
      </c>
      <c r="P104" s="35" t="str">
        <f>IF(Table2[[#This Row],[!Type]]=P$1, P$1,"rg:None")</f>
        <v>rg:None</v>
      </c>
      <c r="Q104" s="35" t="str">
        <f>IF(Table2[[#This Row],[!Type]]=Q$1, Q$1,"rg:None")</f>
        <v>rg:None</v>
      </c>
      <c r="R104" s="35" t="str">
        <f>IF(Table2[[#This Row],[!Type]]=R$1, R$1,"rg:None")</f>
        <v>rg:None</v>
      </c>
      <c r="S104" s="35" t="str">
        <f>IF(Table2[[#This Row],[!Type]]=S$1, S$1,"rg:None")</f>
        <v>rg:None</v>
      </c>
      <c r="T104" s="35" t="str">
        <f>IF(LEN(Table2[[#This Row],[!Length]]) &gt; 0, Table2[[#This Row],[!Length]], "rg:None")</f>
        <v>rg:None</v>
      </c>
      <c r="U104" s="35" t="str">
        <f>IF(LEN(Table2[[#This Row],[!Name]]) &gt; 0, Table2[[#This Row],[!Name]], "rg:None")</f>
        <v>id</v>
      </c>
      <c r="V104" s="35" t="str">
        <f>IF(LEN(Table2[[#This Row],[!Description]]) &gt; 0, Table2[[#This Row],[!Description]], "rg:None")</f>
        <v>A system-generated unique identifier for a UserRole.</v>
      </c>
      <c r="W104" s="38" t="str">
        <f>IF(LEN(Table2[[#This Row],[!FK]])&gt;0,Table2[[#This Row],[!FK]],"rg:None")</f>
        <v>rg:None</v>
      </c>
      <c r="X104" s="35" t="str">
        <f>IF(LEN(concatif2(A:A,Table2[[#This Row],[!Table]],G:G,"Y",D:D,",")) &gt; 0,"rg:[ { 'req' : '"&amp;concatif2(A:A,Table2[[#This Row],[!Table]],G:G,"Y",D:D,"' }, { 'req': '")&amp;"'} ]","rg:[]")</f>
        <v>rg:[ { 'req' : 'id' }, { 'req': 'userId' }, { 'req': 'roleId' }, { 'req': 'effectiveDate'} ]</v>
      </c>
      <c r="Y104" s="38" t="str">
        <f>IF(LEN(Table2[[#This Row],[!Unique]])&gt;0,IF(Table2[[#This Row],[!Type]] = "id", "rg:None","rg:True"),"rg:None")</f>
        <v>rg:None</v>
      </c>
    </row>
    <row r="105" spans="1:25" x14ac:dyDescent="0.3">
      <c r="A105" s="33" t="s">
        <v>134</v>
      </c>
      <c r="B105" s="33" t="s">
        <v>7</v>
      </c>
      <c r="D105" s="33" t="s">
        <v>123</v>
      </c>
      <c r="E105" s="34" t="s">
        <v>137</v>
      </c>
      <c r="F105" s="34" t="s">
        <v>114</v>
      </c>
      <c r="G105" s="37" t="s">
        <v>14</v>
      </c>
      <c r="H105" s="37"/>
      <c r="I105" s="35" t="str">
        <f t="shared" si="14"/>
        <v>Defs</v>
      </c>
      <c r="J105" s="35" t="str">
        <f>IF(Table2[[#This Row],[!Type]]=J$1, J$1,"rg:None")</f>
        <v>rg:None</v>
      </c>
      <c r="K105" s="35" t="str">
        <f>IF(Table2[[#This Row],[!Type]]=K$1, K$1,"rg:None")</f>
        <v>rg:None</v>
      </c>
      <c r="L105" s="35" t="str">
        <f>IF(Table2[[#This Row],[!Type]]=L$1, L$1,"rg:None")</f>
        <v>rg:None</v>
      </c>
      <c r="M105" s="35" t="str">
        <f>IF(Table2[[#This Row],[!Type]]=M$1, M$1,"rg:None")</f>
        <v>rg:None</v>
      </c>
      <c r="N105" s="35" t="str">
        <f>IF(Table2[[#This Row],[!Type]]=N$1, N$1,"rg:None")</f>
        <v>rg:None</v>
      </c>
      <c r="O105" s="35" t="str">
        <f>IF(Table2[[#This Row],[!Type]]=O$1, O$1,"rg:None")</f>
        <v>rg:None</v>
      </c>
      <c r="P105" s="35" t="str">
        <f>IF(Table2[[#This Row],[!Type]]=P$1, P$1,"rg:None")</f>
        <v>rg:None</v>
      </c>
      <c r="Q105" s="35" t="str">
        <f>IF(Table2[[#This Row],[!Type]]=Q$1, Q$1,"rg:None")</f>
        <v>ref</v>
      </c>
      <c r="R105" s="35" t="str">
        <f>IF(Table2[[#This Row],[!Type]]=R$1, R$1,"rg:None")</f>
        <v>rg:None</v>
      </c>
      <c r="S105" s="35" t="str">
        <f>IF(Table2[[#This Row],[!Type]]=S$1, S$1,"rg:None")</f>
        <v>rg:None</v>
      </c>
      <c r="T105" s="35" t="str">
        <f>IF(LEN(Table2[[#This Row],[!Length]]) &gt; 0, Table2[[#This Row],[!Length]], "rg:None")</f>
        <v>rg:None</v>
      </c>
      <c r="U105" s="35" t="str">
        <f>IF(LEN(Table2[[#This Row],[!Name]]) &gt; 0, Table2[[#This Row],[!Name]], "rg:None")</f>
        <v>userId</v>
      </c>
      <c r="V105" s="35" t="str">
        <f>IF(LEN(Table2[[#This Row],[!Description]]) &gt; 0, Table2[[#This Row],[!Description]], "rg:None")</f>
        <v>A foreign key reference to a User.</v>
      </c>
      <c r="W105" s="38" t="str">
        <f>IF(LEN(Table2[[#This Row],[!FK]])&gt;0,Table2[[#This Row],[!FK]],"rg:None")</f>
        <v>User</v>
      </c>
      <c r="X105" s="35" t="str">
        <f>IF(LEN(concatif2(A:A,Table2[[#This Row],[!Table]],G:G,"Y",D:D,",")) &gt; 0,"rg:[ { 'req' : '"&amp;concatif2(A:A,Table2[[#This Row],[!Table]],G:G,"Y",D:D,"' }, { 'req': '")&amp;"'} ]","rg:[]")</f>
        <v>rg:[ { 'req' : 'id' }, { 'req': 'userId' }, { 'req': 'roleId' }, { 'req': 'effectiveDate'} ]</v>
      </c>
      <c r="Y105" s="38" t="str">
        <f>IF(LEN(Table2[[#This Row],[!Unique]])&gt;0,IF(Table2[[#This Row],[!Type]] = "id", "rg:None","rg:True"),"rg:None")</f>
        <v>rg:None</v>
      </c>
    </row>
    <row r="106" spans="1:25" x14ac:dyDescent="0.3">
      <c r="A106" s="33" t="s">
        <v>134</v>
      </c>
      <c r="B106" s="33" t="s">
        <v>7</v>
      </c>
      <c r="D106" s="33" t="s">
        <v>157</v>
      </c>
      <c r="E106" s="34" t="s">
        <v>138</v>
      </c>
      <c r="F106" s="34" t="s">
        <v>129</v>
      </c>
      <c r="G106" s="37" t="s">
        <v>14</v>
      </c>
      <c r="H106" s="37"/>
      <c r="I106" s="35" t="str">
        <f t="shared" si="14"/>
        <v>Defs</v>
      </c>
      <c r="J106" s="35" t="str">
        <f>IF(Table2[[#This Row],[!Type]]=J$1, J$1,"rg:None")</f>
        <v>rg:None</v>
      </c>
      <c r="K106" s="35" t="str">
        <f>IF(Table2[[#This Row],[!Type]]=K$1, K$1,"rg:None")</f>
        <v>rg:None</v>
      </c>
      <c r="L106" s="35" t="str">
        <f>IF(Table2[[#This Row],[!Type]]=L$1, L$1,"rg:None")</f>
        <v>rg:None</v>
      </c>
      <c r="M106" s="35" t="str">
        <f>IF(Table2[[#This Row],[!Type]]=M$1, M$1,"rg:None")</f>
        <v>rg:None</v>
      </c>
      <c r="N106" s="35" t="str">
        <f>IF(Table2[[#This Row],[!Type]]=N$1, N$1,"rg:None")</f>
        <v>rg:None</v>
      </c>
      <c r="O106" s="35" t="str">
        <f>IF(Table2[[#This Row],[!Type]]=O$1, O$1,"rg:None")</f>
        <v>rg:None</v>
      </c>
      <c r="P106" s="35" t="str">
        <f>IF(Table2[[#This Row],[!Type]]=P$1, P$1,"rg:None")</f>
        <v>rg:None</v>
      </c>
      <c r="Q106" s="35" t="str">
        <f>IF(Table2[[#This Row],[!Type]]=Q$1, Q$1,"rg:None")</f>
        <v>ref</v>
      </c>
      <c r="R106" s="35" t="str">
        <f>IF(Table2[[#This Row],[!Type]]=R$1, R$1,"rg:None")</f>
        <v>rg:None</v>
      </c>
      <c r="S106" s="35" t="str">
        <f>IF(Table2[[#This Row],[!Type]]=S$1, S$1,"rg:None")</f>
        <v>rg:None</v>
      </c>
      <c r="T106" s="35" t="str">
        <f>IF(LEN(Table2[[#This Row],[!Length]]) &gt; 0, Table2[[#This Row],[!Length]], "rg:None")</f>
        <v>rg:None</v>
      </c>
      <c r="U106" s="35" t="str">
        <f>IF(LEN(Table2[[#This Row],[!Name]]) &gt; 0, Table2[[#This Row],[!Name]], "rg:None")</f>
        <v>roleId</v>
      </c>
      <c r="V106" s="35" t="str">
        <f>IF(LEN(Table2[[#This Row],[!Description]]) &gt; 0, Table2[[#This Row],[!Description]], "rg:None")</f>
        <v>A foreign key reference to a Role.</v>
      </c>
      <c r="W106" s="38" t="str">
        <f>IF(LEN(Table2[[#This Row],[!FK]])&gt;0,Table2[[#This Row],[!FK]],"rg:None")</f>
        <v>Role</v>
      </c>
      <c r="X106" s="35" t="str">
        <f>IF(LEN(concatif2(A:A,Table2[[#This Row],[!Table]],G:G,"Y",D:D,",")) &gt; 0,"rg:[ { 'req' : '"&amp;concatif2(A:A,Table2[[#This Row],[!Table]],G:G,"Y",D:D,"' }, { 'req': '")&amp;"'} ]","rg:[]")</f>
        <v>rg:[ { 'req' : 'id' }, { 'req': 'userId' }, { 'req': 'roleId' }, { 'req': 'effectiveDate'} ]</v>
      </c>
      <c r="Y106" s="38" t="str">
        <f>IF(LEN(Table2[[#This Row],[!Unique]])&gt;0,IF(Table2[[#This Row],[!Type]] = "id", "rg:None","rg:True"),"rg:None")</f>
        <v>rg:None</v>
      </c>
    </row>
    <row r="107" spans="1:25" x14ac:dyDescent="0.3">
      <c r="A107" s="33" t="s">
        <v>134</v>
      </c>
      <c r="B107" s="33" t="s">
        <v>9</v>
      </c>
      <c r="D107" s="33" t="s">
        <v>52</v>
      </c>
      <c r="E107" s="39" t="s">
        <v>168</v>
      </c>
      <c r="F107" s="34"/>
      <c r="G107" s="37" t="s">
        <v>14</v>
      </c>
      <c r="H107" s="37"/>
      <c r="I107" s="35" t="str">
        <f>IF(LEN(A107) &gt; 0,"Defs","-")</f>
        <v>Defs</v>
      </c>
      <c r="J107" s="35" t="str">
        <f>IF(Table2[[#This Row],[!Type]]=J$1, J$1,"rg:None")</f>
        <v>rg:None</v>
      </c>
      <c r="K107" s="35" t="str">
        <f>IF(Table2[[#This Row],[!Type]]=K$1, K$1,"rg:None")</f>
        <v>rg:None</v>
      </c>
      <c r="L107" s="35" t="str">
        <f>IF(Table2[[#This Row],[!Type]]=L$1, L$1,"rg:None")</f>
        <v>datetime</v>
      </c>
      <c r="M107" s="35" t="str">
        <f>IF(Table2[[#This Row],[!Type]]=M$1, M$1,"rg:None")</f>
        <v>rg:None</v>
      </c>
      <c r="N107" s="35" t="str">
        <f>IF(Table2[[#This Row],[!Type]]=N$1, N$1,"rg:None")</f>
        <v>rg:None</v>
      </c>
      <c r="O107" s="35" t="str">
        <f>IF(Table2[[#This Row],[!Type]]=O$1, O$1,"rg:None")</f>
        <v>rg:None</v>
      </c>
      <c r="P107" s="35" t="str">
        <f>IF(Table2[[#This Row],[!Type]]=P$1, P$1,"rg:None")</f>
        <v>rg:None</v>
      </c>
      <c r="Q107" s="35" t="str">
        <f>IF(Table2[[#This Row],[!Type]]=Q$1, Q$1,"rg:None")</f>
        <v>rg:None</v>
      </c>
      <c r="R107" s="35" t="str">
        <f>IF(Table2[[#This Row],[!Type]]=R$1, R$1,"rg:None")</f>
        <v>rg:None</v>
      </c>
      <c r="S107" s="35" t="str">
        <f>IF(Table2[[#This Row],[!Type]]=S$1, S$1,"rg:None")</f>
        <v>rg:None</v>
      </c>
      <c r="T107" s="35" t="str">
        <f>IF(LEN(Table2[[#This Row],[!Length]]) &gt; 0, Table2[[#This Row],[!Length]], "rg:None")</f>
        <v>rg:None</v>
      </c>
      <c r="U107" s="35" t="str">
        <f>IF(LEN(Table2[[#This Row],[!Name]]) &gt; 0, Table2[[#This Row],[!Name]], "rg:None")</f>
        <v>effectiveDate</v>
      </c>
      <c r="V107" s="35" t="str">
        <f>IF(LEN(Table2[[#This Row],[!Description]]) &gt; 0, Table2[[#This Row],[!Description]], "rg:None")</f>
        <v>The date upon which the Role was activated for the user.</v>
      </c>
      <c r="W107" s="38" t="str">
        <f>IF(LEN(Table2[[#This Row],[!FK]])&gt;0,Table2[[#This Row],[!FK]],"rg:None")</f>
        <v>rg:None</v>
      </c>
      <c r="X107" s="35" t="str">
        <f>IF(LEN(concatif2(A:A,Table2[[#This Row],[!Table]],G:G,"Y",D:D,",")) &gt; 0,"rg:[ { 'req' : '"&amp;concatif2(A:A,Table2[[#This Row],[!Table]],G:G,"Y",D:D,"' }, { 'req': '")&amp;"'} ]","rg:[]")</f>
        <v>rg:[ { 'req' : 'id' }, { 'req': 'userId' }, { 'req': 'roleId' }, { 'req': 'effectiveDate'} ]</v>
      </c>
      <c r="Y107" s="38" t="str">
        <f>IF(LEN(Table2[[#This Row],[!Unique]])&gt;0,IF(Table2[[#This Row],[!Type]] = "id", "rg:None","rg:True"),"rg:None")</f>
        <v>rg:None</v>
      </c>
    </row>
    <row r="108" spans="1:25" ht="28.8" x14ac:dyDescent="0.3">
      <c r="A108" s="33" t="s">
        <v>134</v>
      </c>
      <c r="B108" s="33" t="s">
        <v>9</v>
      </c>
      <c r="D108" s="33" t="s">
        <v>53</v>
      </c>
      <c r="E108" s="39" t="s">
        <v>169</v>
      </c>
      <c r="F108" s="34"/>
      <c r="G108" s="37"/>
      <c r="H108" s="37"/>
      <c r="I108" s="35" t="str">
        <f>IF(LEN(A108) &gt; 0,"Defs","-")</f>
        <v>Defs</v>
      </c>
      <c r="J108" s="35" t="str">
        <f>IF(Table2[[#This Row],[!Type]]=J$1, J$1,"rg:None")</f>
        <v>rg:None</v>
      </c>
      <c r="K108" s="35" t="str">
        <f>IF(Table2[[#This Row],[!Type]]=K$1, K$1,"rg:None")</f>
        <v>rg:None</v>
      </c>
      <c r="L108" s="35" t="str">
        <f>IF(Table2[[#This Row],[!Type]]=L$1, L$1,"rg:None")</f>
        <v>datetime</v>
      </c>
      <c r="M108" s="35" t="str">
        <f>IF(Table2[[#This Row],[!Type]]=M$1, M$1,"rg:None")</f>
        <v>rg:None</v>
      </c>
      <c r="N108" s="35" t="str">
        <f>IF(Table2[[#This Row],[!Type]]=N$1, N$1,"rg:None")</f>
        <v>rg:None</v>
      </c>
      <c r="O108" s="35" t="str">
        <f>IF(Table2[[#This Row],[!Type]]=O$1, O$1,"rg:None")</f>
        <v>rg:None</v>
      </c>
      <c r="P108" s="35" t="str">
        <f>IF(Table2[[#This Row],[!Type]]=P$1, P$1,"rg:None")</f>
        <v>rg:None</v>
      </c>
      <c r="Q108" s="35" t="str">
        <f>IF(Table2[[#This Row],[!Type]]=Q$1, Q$1,"rg:None")</f>
        <v>rg:None</v>
      </c>
      <c r="R108" s="35" t="str">
        <f>IF(Table2[[#This Row],[!Type]]=R$1, R$1,"rg:None")</f>
        <v>rg:None</v>
      </c>
      <c r="S108" s="35" t="str">
        <f>IF(Table2[[#This Row],[!Type]]=S$1, S$1,"rg:None")</f>
        <v>rg:None</v>
      </c>
      <c r="T108" s="35" t="str">
        <f>IF(LEN(Table2[[#This Row],[!Length]]) &gt; 0, Table2[[#This Row],[!Length]], "rg:None")</f>
        <v>rg:None</v>
      </c>
      <c r="U108" s="35" t="str">
        <f>IF(LEN(Table2[[#This Row],[!Name]]) &gt; 0, Table2[[#This Row],[!Name]], "rg:None")</f>
        <v>endDate</v>
      </c>
      <c r="V108" s="35" t="str">
        <f>IF(LEN(Table2[[#This Row],[!Description]]) &gt; 0, Table2[[#This Row],[!Description]], "rg:None")</f>
        <v>The date after which the Role was no longer available to the user.</v>
      </c>
      <c r="W108" s="38" t="str">
        <f>IF(LEN(Table2[[#This Row],[!FK]])&gt;0,Table2[[#This Row],[!FK]],"rg:None")</f>
        <v>rg:None</v>
      </c>
      <c r="X108" s="35" t="str">
        <f>IF(LEN(concatif2(A:A,Table2[[#This Row],[!Table]],G:G,"Y",D:D,",")) &gt; 0,"rg:[ { 'req' : '"&amp;concatif2(A:A,Table2[[#This Row],[!Table]],G:G,"Y",D:D,"' }, { 'req': '")&amp;"'} ]","rg:[]")</f>
        <v>rg:[ { 'req' : 'id' }, { 'req': 'userId' }, { 'req': 'roleId' }, { 'req': 'effectiveDate'} ]</v>
      </c>
      <c r="Y108" s="38" t="str">
        <f>IF(LEN(Table2[[#This Row],[!Unique]])&gt;0,IF(Table2[[#This Row],[!Type]] = "id", "rg:None","rg:True"),"rg:None")</f>
        <v>rg:None</v>
      </c>
    </row>
    <row r="109" spans="1:25" ht="115.2" x14ac:dyDescent="0.3">
      <c r="A109" s="33" t="s">
        <v>139</v>
      </c>
      <c r="B109" s="33" t="s">
        <v>3</v>
      </c>
      <c r="D109" s="33" t="s">
        <v>139</v>
      </c>
      <c r="E109" s="34" t="s">
        <v>140</v>
      </c>
      <c r="F109" s="34" t="s">
        <v>4</v>
      </c>
      <c r="G109" s="37"/>
      <c r="H109" s="37"/>
      <c r="I109" s="35" t="str">
        <f t="shared" si="14"/>
        <v>Defs</v>
      </c>
      <c r="J109" s="35" t="str">
        <f>IF(Table2[[#This Row],[!Type]]=J$1, J$1,"rg:None")</f>
        <v>rg:None</v>
      </c>
      <c r="K109" s="35" t="str">
        <f>IF(Table2[[#This Row],[!Type]]=K$1, K$1,"rg:None")</f>
        <v>rg:None</v>
      </c>
      <c r="L109" s="35" t="str">
        <f>IF(Table2[[#This Row],[!Type]]=L$1, L$1,"rg:None")</f>
        <v>rg:None</v>
      </c>
      <c r="M109" s="35" t="str">
        <f>IF(Table2[[#This Row],[!Type]]=M$1, M$1,"rg:None")</f>
        <v>rg:None</v>
      </c>
      <c r="N109" s="35" t="str">
        <f>IF(Table2[[#This Row],[!Type]]=N$1, N$1,"rg:None")</f>
        <v>rg:None</v>
      </c>
      <c r="O109" s="35" t="str">
        <f>IF(Table2[[#This Row],[!Type]]=O$1, O$1,"rg:None")</f>
        <v>rg:None</v>
      </c>
      <c r="P109" s="35" t="str">
        <f>IF(Table2[[#This Row],[!Type]]=P$1, P$1,"rg:None")</f>
        <v>rg:None</v>
      </c>
      <c r="Q109" s="35" t="str">
        <f>IF(Table2[[#This Row],[!Type]]=Q$1, Q$1,"rg:None")</f>
        <v>rg:None</v>
      </c>
      <c r="R109" s="35" t="str">
        <f>IF(Table2[[#This Row],[!Type]]=R$1, R$1,"rg:None")</f>
        <v>rg:None</v>
      </c>
      <c r="S109" s="35" t="str">
        <f>IF(Table2[[#This Row],[!Type]]=S$1, S$1,"rg:None")</f>
        <v>table</v>
      </c>
      <c r="T109" s="35" t="str">
        <f>IF(LEN(Table2[[#This Row],[!Length]]) &gt; 0, Table2[[#This Row],[!Length]], "rg:None")</f>
        <v>rg:None</v>
      </c>
      <c r="U109" s="35" t="str">
        <f>IF(LEN(Table2[[#This Row],[!Name]]) &gt; 0, Table2[[#This Row],[!Name]], "rg:None")</f>
        <v>Permission</v>
      </c>
      <c r="V109" s="35"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09" s="38" t="str">
        <f>IF(LEN(Table2[[#This Row],[!FK]])&gt;0,Table2[[#This Row],[!FK]],"rg:None")</f>
        <v>rg:None</v>
      </c>
      <c r="X109" s="35" t="str">
        <f>IF(LEN(concatif2(A:A,Table2[[#This Row],[!Table]],G:G,"Y",D:D,",")) &gt; 0,"rg:[ { 'req' : '"&amp;concatif2(A:A,Table2[[#This Row],[!Table]],G:G,"Y",D:D,"' }, { 'req': '")&amp;"'} ]","rg:[]")</f>
        <v>rg:[ { 'req' : 'id' }, { 'req': 'code' }, { 'req': 'name' }, { 'req': 'description'} ]</v>
      </c>
      <c r="Y109" s="38" t="str">
        <f>IF(LEN(Table2[[#This Row],[!Unique]])&gt;0,IF(Table2[[#This Row],[!Type]] = "id", "rg:None","rg:True"),"rg:None")</f>
        <v>rg:None</v>
      </c>
    </row>
    <row r="110" spans="1:25" x14ac:dyDescent="0.3">
      <c r="A110" s="33" t="s">
        <v>139</v>
      </c>
      <c r="B110" s="33" t="s">
        <v>5</v>
      </c>
      <c r="D110" s="33" t="s">
        <v>5</v>
      </c>
      <c r="E110" s="34" t="s">
        <v>141</v>
      </c>
      <c r="F110" s="34" t="s">
        <v>4</v>
      </c>
      <c r="G110" s="37" t="s">
        <v>14</v>
      </c>
      <c r="H110" s="37" t="s">
        <v>14</v>
      </c>
      <c r="I110" s="35" t="str">
        <f t="shared" si="14"/>
        <v>Defs</v>
      </c>
      <c r="J110" s="35" t="str">
        <f>IF(Table2[[#This Row],[!Type]]=J$1, J$1,"rg:None")</f>
        <v>rg:None</v>
      </c>
      <c r="K110" s="35" t="str">
        <f>IF(Table2[[#This Row],[!Type]]=K$1, K$1,"rg:None")</f>
        <v>rg:None</v>
      </c>
      <c r="L110" s="35" t="str">
        <f>IF(Table2[[#This Row],[!Type]]=L$1, L$1,"rg:None")</f>
        <v>rg:None</v>
      </c>
      <c r="M110" s="35" t="str">
        <f>IF(Table2[[#This Row],[!Type]]=M$1, M$1,"rg:None")</f>
        <v>id</v>
      </c>
      <c r="N110" s="35" t="str">
        <f>IF(Table2[[#This Row],[!Type]]=N$1, N$1,"rg:None")</f>
        <v>rg:None</v>
      </c>
      <c r="O110" s="35" t="str">
        <f>IF(Table2[[#This Row],[!Type]]=O$1, O$1,"rg:None")</f>
        <v>rg:None</v>
      </c>
      <c r="P110" s="35" t="str">
        <f>IF(Table2[[#This Row],[!Type]]=P$1, P$1,"rg:None")</f>
        <v>rg:None</v>
      </c>
      <c r="Q110" s="35" t="str">
        <f>IF(Table2[[#This Row],[!Type]]=Q$1, Q$1,"rg:None")</f>
        <v>rg:None</v>
      </c>
      <c r="R110" s="35" t="str">
        <f>IF(Table2[[#This Row],[!Type]]=R$1, R$1,"rg:None")</f>
        <v>rg:None</v>
      </c>
      <c r="S110" s="35" t="str">
        <f>IF(Table2[[#This Row],[!Type]]=S$1, S$1,"rg:None")</f>
        <v>rg:None</v>
      </c>
      <c r="T110" s="35" t="str">
        <f>IF(LEN(Table2[[#This Row],[!Length]]) &gt; 0, Table2[[#This Row],[!Length]], "rg:None")</f>
        <v>rg:None</v>
      </c>
      <c r="U110" s="35" t="str">
        <f>IF(LEN(Table2[[#This Row],[!Name]]) &gt; 0, Table2[[#This Row],[!Name]], "rg:None")</f>
        <v>id</v>
      </c>
      <c r="V110" s="35" t="str">
        <f>IF(LEN(Table2[[#This Row],[!Description]]) &gt; 0, Table2[[#This Row],[!Description]], "rg:None")</f>
        <v>A system-generated unique identifier for a Permission.</v>
      </c>
      <c r="W110" s="38" t="str">
        <f>IF(LEN(Table2[[#This Row],[!FK]])&gt;0,Table2[[#This Row],[!FK]],"rg:None")</f>
        <v>rg:None</v>
      </c>
      <c r="X110" s="35" t="str">
        <f>IF(LEN(concatif2(A:A,Table2[[#This Row],[!Table]],G:G,"Y",D:D,",")) &gt; 0,"rg:[ { 'req' : '"&amp;concatif2(A:A,Table2[[#This Row],[!Table]],G:G,"Y",D:D,"' }, { 'req': '")&amp;"'} ]","rg:[]")</f>
        <v>rg:[ { 'req' : 'id' }, { 'req': 'code' }, { 'req': 'name' }, { 'req': 'description'} ]</v>
      </c>
      <c r="Y110" s="38" t="str">
        <f>IF(LEN(Table2[[#This Row],[!Unique]])&gt;0,IF(Table2[[#This Row],[!Type]] = "id", "rg:None","rg:True"),"rg:None")</f>
        <v>rg:None</v>
      </c>
    </row>
    <row r="111" spans="1:25" ht="28.8" x14ac:dyDescent="0.3">
      <c r="A111" s="33" t="s">
        <v>139</v>
      </c>
      <c r="B111" s="33" t="s">
        <v>6</v>
      </c>
      <c r="C111" s="33">
        <v>100</v>
      </c>
      <c r="D111" s="33" t="s">
        <v>142</v>
      </c>
      <c r="E111" s="34" t="s">
        <v>143</v>
      </c>
      <c r="F111" s="34" t="s">
        <v>4</v>
      </c>
      <c r="G111" s="37" t="s">
        <v>14</v>
      </c>
      <c r="H111" s="37"/>
      <c r="I111" s="35" t="str">
        <f t="shared" si="14"/>
        <v>Defs</v>
      </c>
      <c r="J111" s="35" t="str">
        <f>IF(Table2[[#This Row],[!Type]]=J$1, J$1,"rg:None")</f>
        <v>rg:None</v>
      </c>
      <c r="K111" s="35" t="str">
        <f>IF(Table2[[#This Row],[!Type]]=K$1, K$1,"rg:None")</f>
        <v>rg:None</v>
      </c>
      <c r="L111" s="35" t="str">
        <f>IF(Table2[[#This Row],[!Type]]=L$1, L$1,"rg:None")</f>
        <v>rg:None</v>
      </c>
      <c r="M111" s="35" t="str">
        <f>IF(Table2[[#This Row],[!Type]]=M$1, M$1,"rg:None")</f>
        <v>rg:None</v>
      </c>
      <c r="N111" s="35" t="str">
        <f>IF(Table2[[#This Row],[!Type]]=N$1, N$1,"rg:None")</f>
        <v>rg:None</v>
      </c>
      <c r="O111" s="35" t="str">
        <f>IF(Table2[[#This Row],[!Type]]=O$1, O$1,"rg:None")</f>
        <v>rg:None</v>
      </c>
      <c r="P111" s="35" t="str">
        <f>IF(Table2[[#This Row],[!Type]]=P$1, P$1,"rg:None")</f>
        <v>rg:None</v>
      </c>
      <c r="Q111" s="35" t="str">
        <f>IF(Table2[[#This Row],[!Type]]=Q$1, Q$1,"rg:None")</f>
        <v>rg:None</v>
      </c>
      <c r="R111" s="35" t="str">
        <f>IF(Table2[[#This Row],[!Type]]=R$1, R$1,"rg:None")</f>
        <v>string</v>
      </c>
      <c r="S111" s="35" t="str">
        <f>IF(Table2[[#This Row],[!Type]]=S$1, S$1,"rg:None")</f>
        <v>rg:None</v>
      </c>
      <c r="T111" s="35">
        <f>IF(LEN(Table2[[#This Row],[!Length]]) &gt; 0, Table2[[#This Row],[!Length]], "rg:None")</f>
        <v>100</v>
      </c>
      <c r="U111" s="35" t="str">
        <f>IF(LEN(Table2[[#This Row],[!Name]]) &gt; 0, Table2[[#This Row],[!Name]], "rg:None")</f>
        <v>code</v>
      </c>
      <c r="V111" s="35" t="str">
        <f>IF(LEN(Table2[[#This Row],[!Description]]) &gt; 0, Table2[[#This Row],[!Description]], "rg:None")</f>
        <v>The name of the permission referenced in the software of the application.</v>
      </c>
      <c r="W111" s="38" t="str">
        <f>IF(LEN(Table2[[#This Row],[!FK]])&gt;0,Table2[[#This Row],[!FK]],"rg:None")</f>
        <v>rg:None</v>
      </c>
      <c r="X111" s="35" t="str">
        <f>IF(LEN(concatif2(A:A,Table2[[#This Row],[!Table]],G:G,"Y",D:D,",")) &gt; 0,"rg:[ { 'req' : '"&amp;concatif2(A:A,Table2[[#This Row],[!Table]],G:G,"Y",D:D,"' }, { 'req': '")&amp;"'} ]","rg:[]")</f>
        <v>rg:[ { 'req' : 'id' }, { 'req': 'code' }, { 'req': 'name' }, { 'req': 'description'} ]</v>
      </c>
      <c r="Y111" s="38" t="str">
        <f>IF(LEN(Table2[[#This Row],[!Unique]])&gt;0,IF(Table2[[#This Row],[!Type]] = "id", "rg:None","rg:True"),"rg:None")</f>
        <v>rg:None</v>
      </c>
    </row>
    <row r="112" spans="1:25" ht="28.8" x14ac:dyDescent="0.3">
      <c r="A112" s="33" t="s">
        <v>139</v>
      </c>
      <c r="B112" s="33" t="s">
        <v>6</v>
      </c>
      <c r="C112" s="33">
        <v>100</v>
      </c>
      <c r="D112" s="33" t="s">
        <v>12</v>
      </c>
      <c r="E112" s="34" t="s">
        <v>144</v>
      </c>
      <c r="F112" s="34" t="s">
        <v>4</v>
      </c>
      <c r="G112" s="37" t="s">
        <v>14</v>
      </c>
      <c r="H112" s="37"/>
      <c r="I112" s="35" t="str">
        <f t="shared" si="14"/>
        <v>Defs</v>
      </c>
      <c r="J112" s="35" t="str">
        <f>IF(Table2[[#This Row],[!Type]]=J$1, J$1,"rg:None")</f>
        <v>rg:None</v>
      </c>
      <c r="K112" s="35" t="str">
        <f>IF(Table2[[#This Row],[!Type]]=K$1, K$1,"rg:None")</f>
        <v>rg:None</v>
      </c>
      <c r="L112" s="35" t="str">
        <f>IF(Table2[[#This Row],[!Type]]=L$1, L$1,"rg:None")</f>
        <v>rg:None</v>
      </c>
      <c r="M112" s="35" t="str">
        <f>IF(Table2[[#This Row],[!Type]]=M$1, M$1,"rg:None")</f>
        <v>rg:None</v>
      </c>
      <c r="N112" s="35" t="str">
        <f>IF(Table2[[#This Row],[!Type]]=N$1, N$1,"rg:None")</f>
        <v>rg:None</v>
      </c>
      <c r="O112" s="35" t="str">
        <f>IF(Table2[[#This Row],[!Type]]=O$1, O$1,"rg:None")</f>
        <v>rg:None</v>
      </c>
      <c r="P112" s="35" t="str">
        <f>IF(Table2[[#This Row],[!Type]]=P$1, P$1,"rg:None")</f>
        <v>rg:None</v>
      </c>
      <c r="Q112" s="35" t="str">
        <f>IF(Table2[[#This Row],[!Type]]=Q$1, Q$1,"rg:None")</f>
        <v>rg:None</v>
      </c>
      <c r="R112" s="35" t="str">
        <f>IF(Table2[[#This Row],[!Type]]=R$1, R$1,"rg:None")</f>
        <v>string</v>
      </c>
      <c r="S112" s="35" t="str">
        <f>IF(Table2[[#This Row],[!Type]]=S$1, S$1,"rg:None")</f>
        <v>rg:None</v>
      </c>
      <c r="T112" s="35">
        <f>IF(LEN(Table2[[#This Row],[!Length]]) &gt; 0, Table2[[#This Row],[!Length]], "rg:None")</f>
        <v>100</v>
      </c>
      <c r="U112" s="35" t="str">
        <f>IF(LEN(Table2[[#This Row],[!Name]]) &gt; 0, Table2[[#This Row],[!Name]], "rg:None")</f>
        <v>name</v>
      </c>
      <c r="V112" s="35" t="str">
        <f>IF(LEN(Table2[[#This Row],[!Description]]) &gt; 0, Table2[[#This Row],[!Description]], "rg:None")</f>
        <v>The 'user friendly' name of the permission exposed to the user selecting the permissions to be included in a Role.</v>
      </c>
      <c r="W112" s="38" t="str">
        <f>IF(LEN(Table2[[#This Row],[!FK]])&gt;0,Table2[[#This Row],[!FK]],"rg:None")</f>
        <v>rg:None</v>
      </c>
      <c r="X112" s="35" t="str">
        <f>IF(LEN(concatif2(A:A,Table2[[#This Row],[!Table]],G:G,"Y",D:D,",")) &gt; 0,"rg:[ { 'req' : '"&amp;concatif2(A:A,Table2[[#This Row],[!Table]],G:G,"Y",D:D,"' }, { 'req': '")&amp;"'} ]","rg:[]")</f>
        <v>rg:[ { 'req' : 'id' }, { 'req': 'code' }, { 'req': 'name' }, { 'req': 'description'} ]</v>
      </c>
      <c r="Y112" s="38" t="str">
        <f>IF(LEN(Table2[[#This Row],[!Unique]])&gt;0,IF(Table2[[#This Row],[!Type]] = "id", "rg:None","rg:True"),"rg:None")</f>
        <v>rg:None</v>
      </c>
    </row>
    <row r="113" spans="1:25" ht="28.8" x14ac:dyDescent="0.3">
      <c r="A113" s="33" t="s">
        <v>139</v>
      </c>
      <c r="B113" s="33" t="s">
        <v>6</v>
      </c>
      <c r="C113" s="33">
        <v>1000</v>
      </c>
      <c r="D113" s="33" t="s">
        <v>11</v>
      </c>
      <c r="E113" s="34" t="s">
        <v>145</v>
      </c>
      <c r="F113" s="34" t="s">
        <v>4</v>
      </c>
      <c r="G113" s="37" t="s">
        <v>14</v>
      </c>
      <c r="H113" s="37"/>
      <c r="I113" s="35" t="str">
        <f t="shared" si="14"/>
        <v>Defs</v>
      </c>
      <c r="J113" s="35" t="str">
        <f>IF(Table2[[#This Row],[!Type]]=J$1, J$1,"rg:None")</f>
        <v>rg:None</v>
      </c>
      <c r="K113" s="35" t="str">
        <f>IF(Table2[[#This Row],[!Type]]=K$1, K$1,"rg:None")</f>
        <v>rg:None</v>
      </c>
      <c r="L113" s="35" t="str">
        <f>IF(Table2[[#This Row],[!Type]]=L$1, L$1,"rg:None")</f>
        <v>rg:None</v>
      </c>
      <c r="M113" s="35" t="str">
        <f>IF(Table2[[#This Row],[!Type]]=M$1, M$1,"rg:None")</f>
        <v>rg:None</v>
      </c>
      <c r="N113" s="35" t="str">
        <f>IF(Table2[[#This Row],[!Type]]=N$1, N$1,"rg:None")</f>
        <v>rg:None</v>
      </c>
      <c r="O113" s="35" t="str">
        <f>IF(Table2[[#This Row],[!Type]]=O$1, O$1,"rg:None")</f>
        <v>rg:None</v>
      </c>
      <c r="P113" s="35" t="str">
        <f>IF(Table2[[#This Row],[!Type]]=P$1, P$1,"rg:None")</f>
        <v>rg:None</v>
      </c>
      <c r="Q113" s="35" t="str">
        <f>IF(Table2[[#This Row],[!Type]]=Q$1, Q$1,"rg:None")</f>
        <v>rg:None</v>
      </c>
      <c r="R113" s="35" t="str">
        <f>IF(Table2[[#This Row],[!Type]]=R$1, R$1,"rg:None")</f>
        <v>string</v>
      </c>
      <c r="S113" s="35" t="str">
        <f>IF(Table2[[#This Row],[!Type]]=S$1, S$1,"rg:None")</f>
        <v>rg:None</v>
      </c>
      <c r="T113" s="35">
        <f>IF(LEN(Table2[[#This Row],[!Length]]) &gt; 0, Table2[[#This Row],[!Length]], "rg:None")</f>
        <v>1000</v>
      </c>
      <c r="U113" s="35" t="str">
        <f>IF(LEN(Table2[[#This Row],[!Name]]) &gt; 0, Table2[[#This Row],[!Name]], "rg:None")</f>
        <v>description</v>
      </c>
      <c r="V113" s="35" t="str">
        <f>IF(LEN(Table2[[#This Row],[!Description]]) &gt; 0, Table2[[#This Row],[!Description]], "rg:None")</f>
        <v>A description of the purpose of the permission and exposed to the user selecting the permissions to be included in a Role.</v>
      </c>
      <c r="W113" s="38" t="str">
        <f>IF(LEN(Table2[[#This Row],[!FK]])&gt;0,Table2[[#This Row],[!FK]],"rg:None")</f>
        <v>rg:None</v>
      </c>
      <c r="X113" s="35" t="str">
        <f>IF(LEN(concatif2(A:A,Table2[[#This Row],[!Table]],G:G,"Y",D:D,",")) &gt; 0,"rg:[ { 'req' : '"&amp;concatif2(A:A,Table2[[#This Row],[!Table]],G:G,"Y",D:D,"' }, { 'req': '")&amp;"'} ]","rg:[]")</f>
        <v>rg:[ { 'req' : 'id' }, { 'req': 'code' }, { 'req': 'name' }, { 'req': 'description'} ]</v>
      </c>
      <c r="Y113" s="38" t="str">
        <f>IF(LEN(Table2[[#This Row],[!Unique]])&gt;0,IF(Table2[[#This Row],[!Type]] = "id", "rg:None","rg:True"),"rg:None")</f>
        <v>rg:None</v>
      </c>
    </row>
    <row r="114" spans="1:25" x14ac:dyDescent="0.3">
      <c r="A114" s="33" t="s">
        <v>146</v>
      </c>
      <c r="B114" s="33" t="s">
        <v>3</v>
      </c>
      <c r="D114" s="33" t="s">
        <v>146</v>
      </c>
      <c r="E114" s="34" t="s">
        <v>147</v>
      </c>
      <c r="F114" s="34" t="s">
        <v>4</v>
      </c>
      <c r="G114" s="37"/>
      <c r="H114" s="37"/>
      <c r="I114" s="35" t="str">
        <f t="shared" si="14"/>
        <v>Defs</v>
      </c>
      <c r="J114" s="35" t="str">
        <f>IF(Table2[[#This Row],[!Type]]=J$1, J$1,"rg:None")</f>
        <v>rg:None</v>
      </c>
      <c r="K114" s="35" t="str">
        <f>IF(Table2[[#This Row],[!Type]]=K$1, K$1,"rg:None")</f>
        <v>rg:None</v>
      </c>
      <c r="L114" s="35" t="str">
        <f>IF(Table2[[#This Row],[!Type]]=L$1, L$1,"rg:None")</f>
        <v>rg:None</v>
      </c>
      <c r="M114" s="35" t="str">
        <f>IF(Table2[[#This Row],[!Type]]=M$1, M$1,"rg:None")</f>
        <v>rg:None</v>
      </c>
      <c r="N114" s="35" t="str">
        <f>IF(Table2[[#This Row],[!Type]]=N$1, N$1,"rg:None")</f>
        <v>rg:None</v>
      </c>
      <c r="O114" s="35" t="str">
        <f>IF(Table2[[#This Row],[!Type]]=O$1, O$1,"rg:None")</f>
        <v>rg:None</v>
      </c>
      <c r="P114" s="35" t="str">
        <f>IF(Table2[[#This Row],[!Type]]=P$1, P$1,"rg:None")</f>
        <v>rg:None</v>
      </c>
      <c r="Q114" s="35" t="str">
        <f>IF(Table2[[#This Row],[!Type]]=Q$1, Q$1,"rg:None")</f>
        <v>rg:None</v>
      </c>
      <c r="R114" s="35" t="str">
        <f>IF(Table2[[#This Row],[!Type]]=R$1, R$1,"rg:None")</f>
        <v>rg:None</v>
      </c>
      <c r="S114" s="35" t="str">
        <f>IF(Table2[[#This Row],[!Type]]=S$1, S$1,"rg:None")</f>
        <v>table</v>
      </c>
      <c r="T114" s="35" t="str">
        <f>IF(LEN(Table2[[#This Row],[!Length]]) &gt; 0, Table2[[#This Row],[!Length]], "rg:None")</f>
        <v>rg:None</v>
      </c>
      <c r="U114" s="35" t="str">
        <f>IF(LEN(Table2[[#This Row],[!Name]]) &gt; 0, Table2[[#This Row],[!Name]], "rg:None")</f>
        <v>RolePermission</v>
      </c>
      <c r="V114" s="35" t="str">
        <f>IF(LEN(Table2[[#This Row],[!Description]]) &gt; 0, Table2[[#This Row],[!Description]], "rg:None")</f>
        <v>The collection of permissions included in a role.</v>
      </c>
      <c r="W114" s="38" t="str">
        <f>IF(LEN(Table2[[#This Row],[!FK]])&gt;0,Table2[[#This Row],[!FK]],"rg:None")</f>
        <v>rg:None</v>
      </c>
      <c r="X114" s="35" t="str">
        <f>IF(LEN(concatif2(A:A,Table2[[#This Row],[!Table]],G:G,"Y",D:D,",")) &gt; 0,"rg:[ { 'req' : '"&amp;concatif2(A:A,Table2[[#This Row],[!Table]],G:G,"Y",D:D,"' }, { 'req': '")&amp;"'} ]","rg:[]")</f>
        <v>rg:[ { 'req' : 'id' }, { 'req': 'roleId' }, { 'req': 'permissionId'} ]</v>
      </c>
      <c r="Y114" s="38" t="str">
        <f>IF(LEN(Table2[[#This Row],[!Unique]])&gt;0,IF(Table2[[#This Row],[!Type]] = "id", "rg:None","rg:True"),"rg:None")</f>
        <v>rg:None</v>
      </c>
    </row>
    <row r="115" spans="1:25" x14ac:dyDescent="0.3">
      <c r="A115" s="33" t="s">
        <v>146</v>
      </c>
      <c r="B115" s="33" t="s">
        <v>5</v>
      </c>
      <c r="D115" s="33" t="s">
        <v>5</v>
      </c>
      <c r="E115" s="34" t="s">
        <v>148</v>
      </c>
      <c r="F115" s="34" t="s">
        <v>4</v>
      </c>
      <c r="G115" s="37" t="s">
        <v>14</v>
      </c>
      <c r="H115" s="37" t="s">
        <v>14</v>
      </c>
      <c r="I115" s="35" t="str">
        <f t="shared" si="14"/>
        <v>Defs</v>
      </c>
      <c r="J115" s="35" t="str">
        <f>IF(Table2[[#This Row],[!Type]]=J$1, J$1,"rg:None")</f>
        <v>rg:None</v>
      </c>
      <c r="K115" s="35" t="str">
        <f>IF(Table2[[#This Row],[!Type]]=K$1, K$1,"rg:None")</f>
        <v>rg:None</v>
      </c>
      <c r="L115" s="35" t="str">
        <f>IF(Table2[[#This Row],[!Type]]=L$1, L$1,"rg:None")</f>
        <v>rg:None</v>
      </c>
      <c r="M115" s="35" t="str">
        <f>IF(Table2[[#This Row],[!Type]]=M$1, M$1,"rg:None")</f>
        <v>id</v>
      </c>
      <c r="N115" s="35" t="str">
        <f>IF(Table2[[#This Row],[!Type]]=N$1, N$1,"rg:None")</f>
        <v>rg:None</v>
      </c>
      <c r="O115" s="35" t="str">
        <f>IF(Table2[[#This Row],[!Type]]=O$1, O$1,"rg:None")</f>
        <v>rg:None</v>
      </c>
      <c r="P115" s="35" t="str">
        <f>IF(Table2[[#This Row],[!Type]]=P$1, P$1,"rg:None")</f>
        <v>rg:None</v>
      </c>
      <c r="Q115" s="35" t="str">
        <f>IF(Table2[[#This Row],[!Type]]=Q$1, Q$1,"rg:None")</f>
        <v>rg:None</v>
      </c>
      <c r="R115" s="35" t="str">
        <f>IF(Table2[[#This Row],[!Type]]=R$1, R$1,"rg:None")</f>
        <v>rg:None</v>
      </c>
      <c r="S115" s="35" t="str">
        <f>IF(Table2[[#This Row],[!Type]]=S$1, S$1,"rg:None")</f>
        <v>rg:None</v>
      </c>
      <c r="T115" s="35" t="str">
        <f>IF(LEN(Table2[[#This Row],[!Length]]) &gt; 0, Table2[[#This Row],[!Length]], "rg:None")</f>
        <v>rg:None</v>
      </c>
      <c r="U115" s="35" t="str">
        <f>IF(LEN(Table2[[#This Row],[!Name]]) &gt; 0, Table2[[#This Row],[!Name]], "rg:None")</f>
        <v>id</v>
      </c>
      <c r="V115" s="35" t="str">
        <f>IF(LEN(Table2[[#This Row],[!Description]]) &gt; 0, Table2[[#This Row],[!Description]], "rg:None")</f>
        <v>A system-generated unique identifier for a Role Permission.</v>
      </c>
      <c r="W115" s="38" t="str">
        <f>IF(LEN(Table2[[#This Row],[!FK]])&gt;0,Table2[[#This Row],[!FK]],"rg:None")</f>
        <v>rg:None</v>
      </c>
      <c r="X115" s="35" t="str">
        <f>IF(LEN(concatif2(A:A,Table2[[#This Row],[!Table]],G:G,"Y",D:D,",")) &gt; 0,"rg:[ { 'req' : '"&amp;concatif2(A:A,Table2[[#This Row],[!Table]],G:G,"Y",D:D,"' }, { 'req': '")&amp;"'} ]","rg:[]")</f>
        <v>rg:[ { 'req' : 'id' }, { 'req': 'roleId' }, { 'req': 'permissionId'} ]</v>
      </c>
      <c r="Y115" s="38" t="str">
        <f>IF(LEN(Table2[[#This Row],[!Unique]])&gt;0,IF(Table2[[#This Row],[!Type]] = "id", "rg:None","rg:True"),"rg:None")</f>
        <v>rg:None</v>
      </c>
    </row>
    <row r="116" spans="1:25" x14ac:dyDescent="0.3">
      <c r="A116" s="33" t="s">
        <v>146</v>
      </c>
      <c r="B116" s="33" t="s">
        <v>7</v>
      </c>
      <c r="D116" s="33" t="s">
        <v>157</v>
      </c>
      <c r="E116" s="34" t="s">
        <v>138</v>
      </c>
      <c r="F116" s="34" t="s">
        <v>129</v>
      </c>
      <c r="G116" s="37" t="s">
        <v>14</v>
      </c>
      <c r="H116" s="37"/>
      <c r="I116" s="35" t="str">
        <f t="shared" si="14"/>
        <v>Defs</v>
      </c>
      <c r="J116" s="35" t="str">
        <f>IF(Table2[[#This Row],[!Type]]=J$1, J$1,"rg:None")</f>
        <v>rg:None</v>
      </c>
      <c r="K116" s="35" t="str">
        <f>IF(Table2[[#This Row],[!Type]]=K$1, K$1,"rg:None")</f>
        <v>rg:None</v>
      </c>
      <c r="L116" s="35" t="str">
        <f>IF(Table2[[#This Row],[!Type]]=L$1, L$1,"rg:None")</f>
        <v>rg:None</v>
      </c>
      <c r="M116" s="35" t="str">
        <f>IF(Table2[[#This Row],[!Type]]=M$1, M$1,"rg:None")</f>
        <v>rg:None</v>
      </c>
      <c r="N116" s="35" t="str">
        <f>IF(Table2[[#This Row],[!Type]]=N$1, N$1,"rg:None")</f>
        <v>rg:None</v>
      </c>
      <c r="O116" s="35" t="str">
        <f>IF(Table2[[#This Row],[!Type]]=O$1, O$1,"rg:None")</f>
        <v>rg:None</v>
      </c>
      <c r="P116" s="35" t="str">
        <f>IF(Table2[[#This Row],[!Type]]=P$1, P$1,"rg:None")</f>
        <v>rg:None</v>
      </c>
      <c r="Q116" s="35" t="str">
        <f>IF(Table2[[#This Row],[!Type]]=Q$1, Q$1,"rg:None")</f>
        <v>ref</v>
      </c>
      <c r="R116" s="35" t="str">
        <f>IF(Table2[[#This Row],[!Type]]=R$1, R$1,"rg:None")</f>
        <v>rg:None</v>
      </c>
      <c r="S116" s="35" t="str">
        <f>IF(Table2[[#This Row],[!Type]]=S$1, S$1,"rg:None")</f>
        <v>rg:None</v>
      </c>
      <c r="T116" s="35" t="str">
        <f>IF(LEN(Table2[[#This Row],[!Length]]) &gt; 0, Table2[[#This Row],[!Length]], "rg:None")</f>
        <v>rg:None</v>
      </c>
      <c r="U116" s="35" t="str">
        <f>IF(LEN(Table2[[#This Row],[!Name]]) &gt; 0, Table2[[#This Row],[!Name]], "rg:None")</f>
        <v>roleId</v>
      </c>
      <c r="V116" s="35" t="str">
        <f>IF(LEN(Table2[[#This Row],[!Description]]) &gt; 0, Table2[[#This Row],[!Description]], "rg:None")</f>
        <v>A foreign key reference to a Role.</v>
      </c>
      <c r="W116" s="38" t="str">
        <f>IF(LEN(Table2[[#This Row],[!FK]])&gt;0,Table2[[#This Row],[!FK]],"rg:None")</f>
        <v>Role</v>
      </c>
      <c r="X116" s="35" t="str">
        <f>IF(LEN(concatif2(A:A,Table2[[#This Row],[!Table]],G:G,"Y",D:D,",")) &gt; 0,"rg:[ { 'req' : '"&amp;concatif2(A:A,Table2[[#This Row],[!Table]],G:G,"Y",D:D,"' }, { 'req': '")&amp;"'} ]","rg:[]")</f>
        <v>rg:[ { 'req' : 'id' }, { 'req': 'roleId' }, { 'req': 'permissionId'} ]</v>
      </c>
      <c r="Y116" s="38" t="str">
        <f>IF(LEN(Table2[[#This Row],[!Unique]])&gt;0,IF(Table2[[#This Row],[!Type]] = "id", "rg:None","rg:True"),"rg:None")</f>
        <v>rg:None</v>
      </c>
    </row>
    <row r="117" spans="1:25" x14ac:dyDescent="0.3">
      <c r="A117" s="33" t="s">
        <v>146</v>
      </c>
      <c r="B117" s="33" t="s">
        <v>7</v>
      </c>
      <c r="D117" s="33" t="s">
        <v>158</v>
      </c>
      <c r="E117" s="34" t="s">
        <v>149</v>
      </c>
      <c r="F117" s="34" t="s">
        <v>139</v>
      </c>
      <c r="G117" s="37" t="s">
        <v>14</v>
      </c>
      <c r="H117" s="37"/>
      <c r="I117" s="35" t="str">
        <f t="shared" si="14"/>
        <v>Defs</v>
      </c>
      <c r="J117" s="35" t="str">
        <f>IF(Table2[[#This Row],[!Type]]=J$1, J$1,"rg:None")</f>
        <v>rg:None</v>
      </c>
      <c r="K117" s="35" t="str">
        <f>IF(Table2[[#This Row],[!Type]]=K$1, K$1,"rg:None")</f>
        <v>rg:None</v>
      </c>
      <c r="L117" s="35" t="str">
        <f>IF(Table2[[#This Row],[!Type]]=L$1, L$1,"rg:None")</f>
        <v>rg:None</v>
      </c>
      <c r="M117" s="35" t="str">
        <f>IF(Table2[[#This Row],[!Type]]=M$1, M$1,"rg:None")</f>
        <v>rg:None</v>
      </c>
      <c r="N117" s="35" t="str">
        <f>IF(Table2[[#This Row],[!Type]]=N$1, N$1,"rg:None")</f>
        <v>rg:None</v>
      </c>
      <c r="O117" s="35" t="str">
        <f>IF(Table2[[#This Row],[!Type]]=O$1, O$1,"rg:None")</f>
        <v>rg:None</v>
      </c>
      <c r="P117" s="35" t="str">
        <f>IF(Table2[[#This Row],[!Type]]=P$1, P$1,"rg:None")</f>
        <v>rg:None</v>
      </c>
      <c r="Q117" s="35" t="str">
        <f>IF(Table2[[#This Row],[!Type]]=Q$1, Q$1,"rg:None")</f>
        <v>ref</v>
      </c>
      <c r="R117" s="35" t="str">
        <f>IF(Table2[[#This Row],[!Type]]=R$1, R$1,"rg:None")</f>
        <v>rg:None</v>
      </c>
      <c r="S117" s="35" t="str">
        <f>IF(Table2[[#This Row],[!Type]]=S$1, S$1,"rg:None")</f>
        <v>rg:None</v>
      </c>
      <c r="T117" s="35" t="str">
        <f>IF(LEN(Table2[[#This Row],[!Length]]) &gt; 0, Table2[[#This Row],[!Length]], "rg:None")</f>
        <v>rg:None</v>
      </c>
      <c r="U117" s="35" t="str">
        <f>IF(LEN(Table2[[#This Row],[!Name]]) &gt; 0, Table2[[#This Row],[!Name]], "rg:None")</f>
        <v>permissionId</v>
      </c>
      <c r="V117" s="35" t="str">
        <f>IF(LEN(Table2[[#This Row],[!Description]]) &gt; 0, Table2[[#This Row],[!Description]], "rg:None")</f>
        <v>A foreign key reference to a Permission.</v>
      </c>
      <c r="W117" s="38" t="str">
        <f>IF(LEN(Table2[[#This Row],[!FK]])&gt;0,Table2[[#This Row],[!FK]],"rg:None")</f>
        <v>Permission</v>
      </c>
      <c r="X117" s="35" t="str">
        <f>IF(LEN(concatif2(A:A,Table2[[#This Row],[!Table]],G:G,"Y",D:D,",")) &gt; 0,"rg:[ { 'req' : '"&amp;concatif2(A:A,Table2[[#This Row],[!Table]],G:G,"Y",D:D,"' }, { 'req': '")&amp;"'} ]","rg:[]")</f>
        <v>rg:[ { 'req' : 'id' }, { 'req': 'roleId' }, { 'req': 'permissionId'} ]</v>
      </c>
      <c r="Y117" s="38"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W16"/>
  <sheetViews>
    <sheetView workbookViewId="0">
      <pane ySplit="1" topLeftCell="A2" activePane="bottomLeft" state="frozen"/>
      <selection pane="bottomLeft" activeCell="B1" sqref="B1"/>
    </sheetView>
  </sheetViews>
  <sheetFormatPr defaultColWidth="8.69921875" defaultRowHeight="15.6" x14ac:dyDescent="0.3"/>
  <cols>
    <col min="1" max="1" width="6.796875" style="5" bestFit="1" customWidth="1"/>
    <col min="2" max="2" width="21.19921875" style="5" bestFit="1" customWidth="1"/>
    <col min="3" max="3" width="25.69921875" style="5" bestFit="1" customWidth="1"/>
    <col min="4" max="4" width="25.69921875" style="5" customWidth="1"/>
    <col min="5" max="5" width="17.796875" style="6" bestFit="1" customWidth="1"/>
    <col min="6" max="6" width="11.69921875" style="6" bestFit="1" customWidth="1"/>
    <col min="7" max="7" width="9.296875" style="6" bestFit="1" customWidth="1"/>
    <col min="8" max="8" width="33.5" style="6" customWidth="1"/>
    <col min="9" max="9" width="8.69921875" hidden="1" customWidth="1"/>
    <col min="10" max="22" width="8.69921875" style="5" hidden="1" customWidth="1"/>
    <col min="23" max="23" width="20.69921875" style="5" hidden="1" customWidth="1"/>
    <col min="24" max="16384" width="8.69921875" style="5"/>
  </cols>
  <sheetData>
    <row r="1" spans="1:23" s="1" customFormat="1" ht="14.4" x14ac:dyDescent="0.3">
      <c r="A1" s="1" t="s">
        <v>33</v>
      </c>
      <c r="B1" s="1" t="s">
        <v>34</v>
      </c>
      <c r="C1" s="1" t="s">
        <v>35</v>
      </c>
      <c r="D1" s="1" t="s">
        <v>214</v>
      </c>
      <c r="E1" s="1" t="s">
        <v>36</v>
      </c>
      <c r="F1" s="1" t="s">
        <v>50</v>
      </c>
      <c r="G1" s="2" t="s">
        <v>37</v>
      </c>
      <c r="H1" s="1" t="s">
        <v>38</v>
      </c>
      <c r="I1" s="9" t="s">
        <v>15</v>
      </c>
      <c r="J1" s="9" t="s">
        <v>25</v>
      </c>
      <c r="K1" s="9" t="s">
        <v>26</v>
      </c>
      <c r="L1" s="9" t="s">
        <v>27</v>
      </c>
      <c r="M1" s="9" t="s">
        <v>28</v>
      </c>
      <c r="N1" s="9" t="s">
        <v>29</v>
      </c>
      <c r="O1" s="9" t="s">
        <v>30</v>
      </c>
      <c r="P1" s="9" t="s">
        <v>31</v>
      </c>
      <c r="Q1" s="9" t="s">
        <v>32</v>
      </c>
      <c r="R1" s="9" t="s">
        <v>21</v>
      </c>
      <c r="S1" s="9" t="s">
        <v>22</v>
      </c>
      <c r="T1" s="9" t="s">
        <v>23</v>
      </c>
      <c r="U1" s="9" t="s">
        <v>24</v>
      </c>
      <c r="V1" s="9" t="s">
        <v>0</v>
      </c>
      <c r="W1" s="1" t="s">
        <v>51</v>
      </c>
    </row>
    <row r="2" spans="1:23" x14ac:dyDescent="0.3">
      <c r="A2" s="14" t="s">
        <v>25</v>
      </c>
      <c r="B2" s="43" t="s">
        <v>216</v>
      </c>
      <c r="C2" s="43" t="s">
        <v>176</v>
      </c>
      <c r="D2" s="13" t="str">
        <f>IF(COUNTIF(defs.csv!A:A,Table23[[#This Row],[!tag]])=0,"ERROR: No Model Defined", "Model Defined")</f>
        <v>Model Defined</v>
      </c>
      <c r="E2" s="3"/>
      <c r="F2" s="3"/>
      <c r="G2" s="3"/>
      <c r="H2" s="3"/>
      <c r="I2" s="8" t="str">
        <f t="shared" ref="I2:I11" si="0">IF(LEN(A2) &gt;0,"Path","-")</f>
        <v>Path</v>
      </c>
      <c r="J2" s="8" t="str">
        <f>IF(LEN(Table23[[#This Row],[!type]])&gt;0,IF(Table23[[#This Row],[!type]]=J$1,"1","rg:None"),"-")</f>
        <v>1</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Row],[!type]])&gt;0,IF(Table23[[#This Row],[!type]]=Q$1,"1","rg:None"),"-")</f>
        <v>rg:None</v>
      </c>
      <c r="R2" s="8" t="str">
        <f>IF(LEN(Table23[[#This Row],[!path]]) &gt;0,Table23[[#This Row],[!path]],"rg:None")</f>
        <v>verifiableorgs</v>
      </c>
      <c r="S2" s="8" t="str">
        <f>IF(LEN(Table23[[#This Row],[!tag]]) &gt;0,Table23[[#This Row],[!tag]],"rg:None")</f>
        <v>VerifiableOrg</v>
      </c>
      <c r="T2" s="8" t="str">
        <f>IF(LEN(Table23[[#This Row],[!paramDef]]) &gt;0,Table23[[#This Row],[!paramDef]],"rg:None")</f>
        <v>rg:None</v>
      </c>
      <c r="U2" s="8" t="str">
        <f>IF(LEN(Table23[[#This Row],[!respDef]]) &gt;0,Table23[[#This Row],[!respDef]],"rg:None")</f>
        <v>rg:None</v>
      </c>
      <c r="V2" s="8" t="str">
        <f>IF(LEN(Table23[[#This Row],[!Description]]) &gt;0,Table23[[#This Row],[!Description]],"rg:None")</f>
        <v>rg:None</v>
      </c>
      <c r="W2" s="4" t="str">
        <f>IF(LEN(Table23[[#This Row],[!permission]]) &gt;0,Table23[[#This Row],[!permission]],"rg:None")</f>
        <v>rg:None</v>
      </c>
    </row>
    <row r="3" spans="1:23" x14ac:dyDescent="0.3">
      <c r="A3" s="14" t="s">
        <v>25</v>
      </c>
      <c r="B3" s="43" t="s">
        <v>217</v>
      </c>
      <c r="C3" s="44" t="s">
        <v>215</v>
      </c>
      <c r="D3" s="19" t="str">
        <f>IF(COUNTIF(defs.csv!A:A,Table23[[#This Row],[!tag]])=0,"ERROR: No Model Defined", "Model Defined")</f>
        <v>Model Defined</v>
      </c>
      <c r="E3" s="13"/>
      <c r="F3" s="3"/>
      <c r="G3" s="3"/>
      <c r="H3" s="3"/>
      <c r="I3" s="8" t="str">
        <f>IF(LEN(A3) &gt;0,"Path","-")</f>
        <v>Path</v>
      </c>
      <c r="J3" s="5" t="str">
        <f>IF(LEN(Table23[[#This Row],[!type]])&gt;0,IF(Table23[[#This Row],[!type]]=J$1,"1","rg:None"),"-")</f>
        <v>1</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Row],[!type]])&gt;0,IF(Table23[[#This Row],[!type]]=Q$1,"1","rg:None"),"-")</f>
        <v>rg:None</v>
      </c>
      <c r="R3" s="5" t="str">
        <f>IF(LEN(Table23[[#This Row],[!path]]) &gt;0,Table23[[#This Row],[!path]],"rg:None")</f>
        <v>verifiableorgtypes</v>
      </c>
      <c r="S3" s="5" t="str">
        <f>IF(LEN(Table23[[#This Row],[!tag]]) &gt;0,Table23[[#This Row],[!tag]],"rg:None")</f>
        <v>VerifiableOrgType</v>
      </c>
      <c r="T3" s="5" t="str">
        <f>IF(LEN(Table23[[#This Row],[!paramDef]]) &gt;0,Table23[[#This Row],[!paramDef]],"rg:None")</f>
        <v>rg:None</v>
      </c>
      <c r="U3" s="5" t="str">
        <f>IF(LEN(Table23[[#This Row],[!respDef]]) &gt;0,Table23[[#This Row],[!respDef]],"rg:None")</f>
        <v>rg:None</v>
      </c>
      <c r="V3" s="5" t="str">
        <f>IF(LEN(Table23[[#This Row],[!Description]]) &gt;0,Table23[[#This Row],[!Description]],"rg:None")</f>
        <v>rg:None</v>
      </c>
      <c r="W3" s="4" t="str">
        <f>IF(LEN(Table23[[#This Row],[!permission]]) &gt;0,Table23[[#This Row],[!permission]],"rg:None")</f>
        <v>rg:None</v>
      </c>
    </row>
    <row r="4" spans="1:23" x14ac:dyDescent="0.3">
      <c r="A4" s="14" t="s">
        <v>25</v>
      </c>
      <c r="B4" s="42" t="s">
        <v>218</v>
      </c>
      <c r="C4" s="44" t="s">
        <v>207</v>
      </c>
      <c r="D4" s="19" t="str">
        <f>IF(COUNTIF(defs.csv!A:A,Table23[[#This Row],[!tag]])=0,"ERROR: No Model Defined", "Model Defined")</f>
        <v>Model Defined</v>
      </c>
      <c r="E4" s="4"/>
      <c r="F4" s="15"/>
      <c r="G4" s="10"/>
      <c r="H4" s="11"/>
      <c r="I4" s="12" t="str">
        <f t="shared" ref="I4:I5" si="1">IF(LEN(A4) &gt;0,"Path","-")</f>
        <v>Path</v>
      </c>
      <c r="J4" s="12" t="str">
        <f>IF(LEN(Table23[[#This Row],[!type]])&gt;0,IF(Table23[[#This Row],[!type]]=J$1,"1","rg:None"),"-")</f>
        <v>1</v>
      </c>
      <c r="K4" s="12" t="str">
        <f>IF(LEN(Table23[[#This Row],[!type]])&gt;0,IF(Table23[[#This Row],[!type]]=K$1,"1","rg:None"),"-")</f>
        <v>rg:None</v>
      </c>
      <c r="L4" s="12" t="str">
        <f>IF(LEN(Table23[[#This Row],[!type]])&gt;0,IF(Table23[[#This Row],[!type]]=L$1,"1","rg:None"),"-")</f>
        <v>rg:None</v>
      </c>
      <c r="M4" s="12" t="str">
        <f>IF(LEN(Table23[[#This Row],[!type]])&gt;0,IF(Table23[[#This Row],[!type]]=M$1,"1","rg:None"),"-")</f>
        <v>rg:None</v>
      </c>
      <c r="N4" s="12" t="str">
        <f>IF(LEN(Table23[[#This Row],[!type]])&gt;0,IF(Table23[[#This Row],[!type]]=N$1,"1","rg:None"),"-")</f>
        <v>rg:None</v>
      </c>
      <c r="O4" s="12" t="str">
        <f>IF(LEN(Table23[[#This Row],[!type]])&gt;0,IF(Table23[[#This Row],[!type]]=O$1,"1","rg:None"),"-")</f>
        <v>rg:None</v>
      </c>
      <c r="P4" s="12" t="str">
        <f>IF(LEN(Table23[[#This Row],[!type]])&gt;0,IF(Table23[[#This Row],[!type]]=P$1,"1","rg:None"),"-")</f>
        <v>rg:None</v>
      </c>
      <c r="Q4" s="12" t="str">
        <f>IF(LEN(Table23[[#This Row],[!type]])&gt;0,IF(Table23[[#This Row],[!type]]=Q$1,"1","rg:None"),"-")</f>
        <v>rg:None</v>
      </c>
      <c r="R4" s="12" t="str">
        <f>IF(LEN(Table23[[#This Row],[!path]]) &gt;0,Table23[[#This Row],[!path]],"rg:None")</f>
        <v>locations</v>
      </c>
      <c r="S4" s="12" t="str">
        <f>IF(LEN(Table23[[#This Row],[!tag]]) &gt;0,Table23[[#This Row],[!tag]],"rg:None")</f>
        <v>Location</v>
      </c>
      <c r="T4" s="12" t="str">
        <f>IF(LEN(Table23[[#This Row],[!paramDef]]) &gt;0,Table23[[#This Row],[!paramDef]],"rg:None")</f>
        <v>rg:None</v>
      </c>
      <c r="U4" s="12" t="str">
        <f>IF(LEN(Table23[[#This Row],[!respDef]]) &gt;0,Table23[[#This Row],[!respDef]],"rg:None")</f>
        <v>rg:None</v>
      </c>
      <c r="V4" s="12" t="str">
        <f>IF(LEN(Table23[[#This Row],[!Description]]) &gt;0,Table23[[#This Row],[!Description]],"rg:None")</f>
        <v>rg:None</v>
      </c>
      <c r="W4" s="4" t="str">
        <f>IF(LEN(Table23[[#This Row],[!permission]]) &gt;0,Table23[[#This Row],[!permission]],"rg:None")</f>
        <v>rg:None</v>
      </c>
    </row>
    <row r="5" spans="1:23" x14ac:dyDescent="0.3">
      <c r="A5" s="14" t="s">
        <v>25</v>
      </c>
      <c r="B5" s="42" t="s">
        <v>219</v>
      </c>
      <c r="C5" s="44" t="s">
        <v>208</v>
      </c>
      <c r="D5" s="19" t="str">
        <f>IF(COUNTIF(defs.csv!A:A,Table23[[#This Row],[!tag]])=0,"ERROR: No Model Defined", "Model Defined")</f>
        <v>Model Defined</v>
      </c>
      <c r="E5" s="4"/>
      <c r="F5" s="15"/>
      <c r="G5" s="10"/>
      <c r="H5" s="11"/>
      <c r="I5" s="12" t="str">
        <f t="shared" si="1"/>
        <v>Path</v>
      </c>
      <c r="J5" s="12" t="str">
        <f>IF(LEN(Table23[[#This Row],[!type]])&gt;0,IF(Table23[[#This Row],[!type]]=J$1,"1","rg:None"),"-")</f>
        <v>1</v>
      </c>
      <c r="K5" s="12" t="str">
        <f>IF(LEN(Table23[[#This Row],[!type]])&gt;0,IF(Table23[[#This Row],[!type]]=K$1,"1","rg:None"),"-")</f>
        <v>rg:None</v>
      </c>
      <c r="L5" s="12" t="str">
        <f>IF(LEN(Table23[[#This Row],[!type]])&gt;0,IF(Table23[[#This Row],[!type]]=L$1,"1","rg:None"),"-")</f>
        <v>rg:None</v>
      </c>
      <c r="M5" s="12" t="str">
        <f>IF(LEN(Table23[[#This Row],[!type]])&gt;0,IF(Table23[[#This Row],[!type]]=M$1,"1","rg:None"),"-")</f>
        <v>rg:None</v>
      </c>
      <c r="N5" s="12" t="str">
        <f>IF(LEN(Table23[[#This Row],[!type]])&gt;0,IF(Table23[[#This Row],[!type]]=N$1,"1","rg:None"),"-")</f>
        <v>rg:None</v>
      </c>
      <c r="O5" s="12" t="str">
        <f>IF(LEN(Table23[[#This Row],[!type]])&gt;0,IF(Table23[[#This Row],[!type]]=O$1,"1","rg:None"),"-")</f>
        <v>rg:None</v>
      </c>
      <c r="P5" s="12" t="str">
        <f>IF(LEN(Table23[[#This Row],[!type]])&gt;0,IF(Table23[[#This Row],[!type]]=P$1,"1","rg:None"),"-")</f>
        <v>rg:None</v>
      </c>
      <c r="Q5" s="12" t="str">
        <f>IF(LEN(Table23[[#This Row],[!type]])&gt;0,IF(Table23[[#This Row],[!type]]=Q$1,"1","rg:None"),"-")</f>
        <v>rg:None</v>
      </c>
      <c r="R5" s="12" t="str">
        <f>IF(LEN(Table23[[#This Row],[!path]]) &gt;0,Table23[[#This Row],[!path]],"rg:None")</f>
        <v>locationtypes</v>
      </c>
      <c r="S5" s="12" t="str">
        <f>IF(LEN(Table23[[#This Row],[!tag]]) &gt;0,Table23[[#This Row],[!tag]],"rg:None")</f>
        <v>LocationType</v>
      </c>
      <c r="T5" s="12" t="str">
        <f>IF(LEN(Table23[[#This Row],[!paramDef]]) &gt;0,Table23[[#This Row],[!paramDef]],"rg:None")</f>
        <v>rg:None</v>
      </c>
      <c r="U5" s="12" t="str">
        <f>IF(LEN(Table23[[#This Row],[!respDef]]) &gt;0,Table23[[#This Row],[!respDef]],"rg:None")</f>
        <v>rg:None</v>
      </c>
      <c r="V5" s="12" t="str">
        <f>IF(LEN(Table23[[#This Row],[!Description]]) &gt;0,Table23[[#This Row],[!Description]],"rg:None")</f>
        <v>rg:None</v>
      </c>
      <c r="W5" s="4" t="str">
        <f>IF(LEN(Table23[[#This Row],[!permission]]) &gt;0,Table23[[#This Row],[!permission]],"rg:None")</f>
        <v>rg:None</v>
      </c>
    </row>
    <row r="6" spans="1:23" x14ac:dyDescent="0.3">
      <c r="A6" s="22" t="s">
        <v>25</v>
      </c>
      <c r="B6" s="42" t="s">
        <v>220</v>
      </c>
      <c r="C6" s="44" t="s">
        <v>209</v>
      </c>
      <c r="D6" s="23" t="str">
        <f>IF(COUNTIF(defs.csv!A:A,Table23[[#This Row],[!tag]])=0,"ERROR: No Model Defined", "Model Defined")</f>
        <v>Model Defined</v>
      </c>
      <c r="E6" s="4"/>
      <c r="F6" s="15"/>
      <c r="G6" s="10"/>
      <c r="H6" s="11"/>
      <c r="I6" s="12" t="str">
        <f>IF(LEN(A6) &gt;0,"Path","-")</f>
        <v>Path</v>
      </c>
      <c r="J6" s="12" t="str">
        <f>IF(LEN(Table23[[#This Row],[!type]])&gt;0,IF(Table23[[#This Row],[!type]]=J$1,"1","rg:None"),"-")</f>
        <v>1</v>
      </c>
      <c r="K6" s="12" t="str">
        <f>IF(LEN(Table23[[#This Row],[!type]])&gt;0,IF(Table23[[#This Row],[!type]]=K$1,"1","rg:None"),"-")</f>
        <v>rg:None</v>
      </c>
      <c r="L6" s="12" t="str">
        <f>IF(LEN(Table23[[#This Row],[!type]])&gt;0,IF(Table23[[#This Row],[!type]]=L$1,"1","rg:None"),"-")</f>
        <v>rg:None</v>
      </c>
      <c r="M6" s="12" t="str">
        <f>IF(LEN(Table23[[#This Row],[!type]])&gt;0,IF(Table23[[#This Row],[!type]]=M$1,"1","rg:None"),"-")</f>
        <v>rg:None</v>
      </c>
      <c r="N6" s="12" t="str">
        <f>IF(LEN(Table23[[#This Row],[!type]])&gt;0,IF(Table23[[#This Row],[!type]]=N$1,"1","rg:None"),"-")</f>
        <v>rg:None</v>
      </c>
      <c r="O6" s="12" t="str">
        <f>IF(LEN(Table23[[#This Row],[!type]])&gt;0,IF(Table23[[#This Row],[!type]]=O$1,"1","rg:None"),"-")</f>
        <v>rg:None</v>
      </c>
      <c r="P6" s="12" t="str">
        <f>IF(LEN(Table23[[#This Row],[!type]])&gt;0,IF(Table23[[#This Row],[!type]]=P$1,"1","rg:None"),"-")</f>
        <v>rg:None</v>
      </c>
      <c r="Q6" s="12" t="str">
        <f>IF(LEN(Table23[[#This Row],[!type]])&gt;0,IF(Table23[[#This Row],[!type]]=Q$1,"1","rg:None"),"-")</f>
        <v>rg:None</v>
      </c>
      <c r="R6" s="12" t="str">
        <f>IF(LEN(Table23[[#This Row],[!path]]) &gt;0,Table23[[#This Row],[!path]],"rg:None")</f>
        <v>doingbusinessas</v>
      </c>
      <c r="S6" s="12" t="str">
        <f>IF(LEN(Table23[[#This Row],[!tag]]) &gt;0,Table23[[#This Row],[!tag]],"rg:None")</f>
        <v>DoingBusinessAs</v>
      </c>
      <c r="T6" s="12" t="str">
        <f>IF(LEN(Table23[[#This Row],[!paramDef]]) &gt;0,Table23[[#This Row],[!paramDef]],"rg:None")</f>
        <v>rg:None</v>
      </c>
      <c r="U6" s="12" t="str">
        <f>IF(LEN(Table23[[#This Row],[!respDef]]) &gt;0,Table23[[#This Row],[!respDef]],"rg:None")</f>
        <v>rg:None</v>
      </c>
      <c r="V6" s="12" t="str">
        <f>IF(LEN(Table23[[#This Row],[!Description]]) &gt;0,Table23[[#This Row],[!Description]],"rg:None")</f>
        <v>rg:None</v>
      </c>
      <c r="W6" s="4" t="str">
        <f>IF(LEN(Table23[[#This Row],[!permission]]) &gt;0,Table23[[#This Row],[!permission]],"rg:None")</f>
        <v>rg:None</v>
      </c>
    </row>
    <row r="7" spans="1:23" x14ac:dyDescent="0.3">
      <c r="A7" s="17" t="s">
        <v>25</v>
      </c>
      <c r="B7" s="42" t="s">
        <v>221</v>
      </c>
      <c r="C7" s="44" t="s">
        <v>210</v>
      </c>
      <c r="D7" s="16" t="str">
        <f>IF(COUNTIF(defs.csv!A:A,Table23[[#This Row],[!tag]])=0,"ERROR: No Model Defined", "Model Defined")</f>
        <v>Model Defined</v>
      </c>
      <c r="E7" s="4"/>
      <c r="F7" s="15"/>
      <c r="G7" s="10"/>
      <c r="H7" s="11"/>
      <c r="I7" s="12" t="str">
        <f>IF(LEN(A7) &gt;0,"Path","-")</f>
        <v>Path</v>
      </c>
      <c r="J7" s="12" t="str">
        <f>IF(LEN(Table23[[#This Row],[!type]])&gt;0,IF(Table23[[#This Row],[!type]]=J$1,"1","rg:None"),"-")</f>
        <v>1</v>
      </c>
      <c r="K7" s="12" t="str">
        <f>IF(LEN(Table23[[#This Row],[!type]])&gt;0,IF(Table23[[#This Row],[!type]]=K$1,"1","rg:None"),"-")</f>
        <v>rg:None</v>
      </c>
      <c r="L7" s="12" t="str">
        <f>IF(LEN(Table23[[#This Row],[!type]])&gt;0,IF(Table23[[#This Row],[!type]]=L$1,"1","rg:None"),"-")</f>
        <v>rg:None</v>
      </c>
      <c r="M7" s="12" t="str">
        <f>IF(LEN(Table23[[#This Row],[!type]])&gt;0,IF(Table23[[#This Row],[!type]]=M$1,"1","rg:None"),"-")</f>
        <v>rg:None</v>
      </c>
      <c r="N7" s="12" t="str">
        <f>IF(LEN(Table23[[#This Row],[!type]])&gt;0,IF(Table23[[#This Row],[!type]]=N$1,"1","rg:None"),"-")</f>
        <v>rg:None</v>
      </c>
      <c r="O7" s="12" t="str">
        <f>IF(LEN(Table23[[#This Row],[!type]])&gt;0,IF(Table23[[#This Row],[!type]]=O$1,"1","rg:None"),"-")</f>
        <v>rg:None</v>
      </c>
      <c r="P7" s="12" t="str">
        <f>IF(LEN(Table23[[#This Row],[!type]])&gt;0,IF(Table23[[#This Row],[!type]]=P$1,"1","rg:None"),"-")</f>
        <v>rg:None</v>
      </c>
      <c r="Q7" s="12" t="str">
        <f>IF(LEN(Table23[[#This Row],[!type]])&gt;0,IF(Table23[[#This Row],[!type]]=Q$1,"1","rg:None"),"-")</f>
        <v>rg:None</v>
      </c>
      <c r="R7" s="12" t="str">
        <f>IF(LEN(Table23[[#This Row],[!path]]) &gt;0,Table23[[#This Row],[!path]],"rg:None")</f>
        <v>verifiableclaims</v>
      </c>
      <c r="S7" s="12" t="str">
        <f>IF(LEN(Table23[[#This Row],[!tag]]) &gt;0,Table23[[#This Row],[!tag]],"rg:None")</f>
        <v>VerifiableClaim</v>
      </c>
      <c r="T7" s="12" t="str">
        <f>IF(LEN(Table23[[#This Row],[!paramDef]]) &gt;0,Table23[[#This Row],[!paramDef]],"rg:None")</f>
        <v>rg:None</v>
      </c>
      <c r="U7" s="12" t="str">
        <f>IF(LEN(Table23[[#This Row],[!respDef]]) &gt;0,Table23[[#This Row],[!respDef]],"rg:None")</f>
        <v>rg:None</v>
      </c>
      <c r="V7" s="12" t="str">
        <f>IF(LEN(Table23[[#This Row],[!Description]]) &gt;0,Table23[[#This Row],[!Description]],"rg:None")</f>
        <v>rg:None</v>
      </c>
      <c r="W7" s="4" t="str">
        <f>IF(LEN(Table23[[#This Row],[!permission]]) &gt;0,Table23[[#This Row],[!permission]],"rg:None")</f>
        <v>rg:None</v>
      </c>
    </row>
    <row r="8" spans="1:23" x14ac:dyDescent="0.3">
      <c r="A8" s="21" t="s">
        <v>25</v>
      </c>
      <c r="B8" s="42" t="s">
        <v>222</v>
      </c>
      <c r="C8" s="42" t="s">
        <v>213</v>
      </c>
      <c r="D8" s="5" t="str">
        <f>IF(COUNTIF(defs.csv!A:A,Table23[[#This Row],[!tag]])=0,"ERROR: No Model Defined", "Model Defined")</f>
        <v>Model Defined</v>
      </c>
      <c r="E8" s="4"/>
      <c r="F8" s="15"/>
      <c r="G8" s="10"/>
      <c r="H8" s="11"/>
      <c r="I8" s="12" t="str">
        <f>IF(LEN(A8) &gt;0,"Path","-")</f>
        <v>Path</v>
      </c>
      <c r="J8" s="12" t="str">
        <f>IF(LEN(Table23[[#This Row],[!type]])&gt;0,IF(Table23[[#This Row],[!type]]=J$1,"1","rg:None"),"-")</f>
        <v>1</v>
      </c>
      <c r="K8" s="12" t="str">
        <f>IF(LEN(Table23[[#This Row],[!type]])&gt;0,IF(Table23[[#This Row],[!type]]=K$1,"1","rg:None"),"-")</f>
        <v>rg:None</v>
      </c>
      <c r="L8" s="12" t="str">
        <f>IF(LEN(Table23[[#This Row],[!type]])&gt;0,IF(Table23[[#This Row],[!type]]=L$1,"1","rg:None"),"-")</f>
        <v>rg:None</v>
      </c>
      <c r="M8" s="12" t="str">
        <f>IF(LEN(Table23[[#This Row],[!type]])&gt;0,IF(Table23[[#This Row],[!type]]=M$1,"1","rg:None"),"-")</f>
        <v>rg:None</v>
      </c>
      <c r="N8" s="12" t="str">
        <f>IF(LEN(Table23[[#This Row],[!type]])&gt;0,IF(Table23[[#This Row],[!type]]=N$1,"1","rg:None"),"-")</f>
        <v>rg:None</v>
      </c>
      <c r="O8" s="12" t="str">
        <f>IF(LEN(Table23[[#This Row],[!type]])&gt;0,IF(Table23[[#This Row],[!type]]=O$1,"1","rg:None"),"-")</f>
        <v>rg:None</v>
      </c>
      <c r="P8" s="12" t="str">
        <f>IF(LEN(Table23[[#This Row],[!type]])&gt;0,IF(Table23[[#This Row],[!type]]=P$1,"1","rg:None"),"-")</f>
        <v>rg:None</v>
      </c>
      <c r="Q8" s="12" t="str">
        <f>IF(LEN(Table23[[#This Row],[!type]])&gt;0,IF(Table23[[#This Row],[!type]]=Q$1,"1","rg:None"),"-")</f>
        <v>rg:None</v>
      </c>
      <c r="R8" s="12" t="str">
        <f>IF(LEN(Table23[[#This Row],[!path]]) &gt;0,Table23[[#This Row],[!path]],"rg:None")</f>
        <v>verifiableclaimtypes</v>
      </c>
      <c r="S8" s="12" t="str">
        <f>IF(LEN(Table23[[#This Row],[!tag]]) &gt;0,Table23[[#This Row],[!tag]],"rg:None")</f>
        <v>VerifiableClaimType</v>
      </c>
      <c r="T8" s="12" t="str">
        <f>IF(LEN(Table23[[#This Row],[!paramDef]]) &gt;0,Table23[[#This Row],[!paramDef]],"rg:None")</f>
        <v>rg:None</v>
      </c>
      <c r="U8" s="12" t="str">
        <f>IF(LEN(Table23[[#This Row],[!respDef]]) &gt;0,Table23[[#This Row],[!respDef]],"rg:None")</f>
        <v>rg:None</v>
      </c>
      <c r="V8" s="12" t="str">
        <f>IF(LEN(Table23[[#This Row],[!Description]]) &gt;0,Table23[[#This Row],[!Description]],"rg:None")</f>
        <v>rg:None</v>
      </c>
      <c r="W8" s="4" t="str">
        <f>IF(LEN(Table23[[#This Row],[!permission]]) &gt;0,Table23[[#This Row],[!permission]],"rg:None")</f>
        <v>rg:None</v>
      </c>
    </row>
    <row r="9" spans="1:23" x14ac:dyDescent="0.3">
      <c r="A9" s="24" t="s">
        <v>25</v>
      </c>
      <c r="B9" s="24" t="s">
        <v>154</v>
      </c>
      <c r="C9" s="25" t="s">
        <v>112</v>
      </c>
      <c r="D9" s="25" t="str">
        <f>IF(COUNTIF(defs.csv!A:A,Table23[[#This Row],[!tag]])=0,"ERROR: No Model Defined", "Model Defined")</f>
        <v>Model Defined</v>
      </c>
      <c r="E9" s="4"/>
      <c r="F9" s="15"/>
      <c r="G9" s="10"/>
      <c r="H9" s="11"/>
      <c r="I9" s="12" t="str">
        <f>IF(LEN(A9) &gt;0,"Path","-")</f>
        <v>Path</v>
      </c>
      <c r="J9" s="12" t="str">
        <f>IF(LEN(Table23[[#This Row],[!type]])&gt;0,IF(Table23[[#This Row],[!type]]=J$1,"1","rg:None"),"-")</f>
        <v>1</v>
      </c>
      <c r="K9" s="12" t="str">
        <f>IF(LEN(Table23[[#This Row],[!type]])&gt;0,IF(Table23[[#This Row],[!type]]=K$1,"1","rg:None"),"-")</f>
        <v>rg:None</v>
      </c>
      <c r="L9" s="12" t="str">
        <f>IF(LEN(Table23[[#This Row],[!type]])&gt;0,IF(Table23[[#This Row],[!type]]=L$1,"1","rg:None"),"-")</f>
        <v>rg:None</v>
      </c>
      <c r="M9" s="12" t="str">
        <f>IF(LEN(Table23[[#This Row],[!type]])&gt;0,IF(Table23[[#This Row],[!type]]=M$1,"1","rg:None"),"-")</f>
        <v>rg:None</v>
      </c>
      <c r="N9" s="12" t="str">
        <f>IF(LEN(Table23[[#This Row],[!type]])&gt;0,IF(Table23[[#This Row],[!type]]=N$1,"1","rg:None"),"-")</f>
        <v>rg:None</v>
      </c>
      <c r="O9" s="12" t="str">
        <f>IF(LEN(Table23[[#This Row],[!type]])&gt;0,IF(Table23[[#This Row],[!type]]=O$1,"1","rg:None"),"-")</f>
        <v>rg:None</v>
      </c>
      <c r="P9" s="12" t="str">
        <f>IF(LEN(Table23[[#This Row],[!type]])&gt;0,IF(Table23[[#This Row],[!type]]=P$1,"1","rg:None"),"-")</f>
        <v>rg:None</v>
      </c>
      <c r="Q9" s="12" t="str">
        <f>IF(LEN(Table23[[#This Row],[!type]])&gt;0,IF(Table23[[#This Row],[!type]]=Q$1,"1","rg:None"),"-")</f>
        <v>rg:None</v>
      </c>
      <c r="R9" s="12" t="str">
        <f>IF(LEN(Table23[[#This Row],[!path]]) &gt;0,Table23[[#This Row],[!path]],"rg:None")</f>
        <v>inactiveclaimreasons</v>
      </c>
      <c r="S9" s="12" t="str">
        <f>IF(LEN(Table23[[#This Row],[!tag]]) &gt;0,Table23[[#This Row],[!tag]],"rg:None")</f>
        <v>InactiveClaimReason</v>
      </c>
      <c r="T9" s="12" t="str">
        <f>IF(LEN(Table23[[#This Row],[!paramDef]]) &gt;0,Table23[[#This Row],[!paramDef]],"rg:None")</f>
        <v>rg:None</v>
      </c>
      <c r="U9" s="12" t="str">
        <f>IF(LEN(Table23[[#This Row],[!respDef]]) &gt;0,Table23[[#This Row],[!respDef]],"rg:None")</f>
        <v>rg:None</v>
      </c>
      <c r="V9" s="12" t="str">
        <f>IF(LEN(Table23[[#This Row],[!Description]]) &gt;0,Table23[[#This Row],[!Description]],"rg:None")</f>
        <v>rg:None</v>
      </c>
      <c r="W9" s="4" t="str">
        <f>IF(LEN(Table23[[#This Row],[!permission]]) &gt;0,Table23[[#This Row],[!permission]],"rg:None")</f>
        <v>rg:None</v>
      </c>
    </row>
    <row r="10" spans="1:23" x14ac:dyDescent="0.3">
      <c r="A10" s="20" t="s">
        <v>25</v>
      </c>
      <c r="B10" s="27" t="s">
        <v>155</v>
      </c>
      <c r="C10" s="28" t="s">
        <v>113</v>
      </c>
      <c r="D10" s="28" t="str">
        <f>IF(COUNTIF(defs.csv!A:A,Table23[[#This Row],[!tag]])=0,"ERROR: No Model Defined", "Model Defined")</f>
        <v>Model Defined</v>
      </c>
      <c r="E10" s="4"/>
      <c r="F10" s="15"/>
      <c r="G10" s="10"/>
      <c r="H10" s="11"/>
      <c r="I10" s="12" t="str">
        <f>IF(LEN(A10) &gt;0,"Path","-")</f>
        <v>Path</v>
      </c>
      <c r="J10" s="12" t="str">
        <f>IF(LEN(Table23[[#This Row],[!type]])&gt;0,IF(Table23[[#This Row],[!type]]=J$1,"1","rg:None"),"-")</f>
        <v>1</v>
      </c>
      <c r="K10" s="12" t="str">
        <f>IF(LEN(Table23[[#This Row],[!type]])&gt;0,IF(Table23[[#This Row],[!type]]=K$1,"1","rg:None"),"-")</f>
        <v>rg:None</v>
      </c>
      <c r="L10" s="12" t="str">
        <f>IF(LEN(Table23[[#This Row],[!type]])&gt;0,IF(Table23[[#This Row],[!type]]=L$1,"1","rg:None"),"-")</f>
        <v>rg:None</v>
      </c>
      <c r="M10" s="12" t="str">
        <f>IF(LEN(Table23[[#This Row],[!type]])&gt;0,IF(Table23[[#This Row],[!type]]=M$1,"1","rg:None"),"-")</f>
        <v>rg:None</v>
      </c>
      <c r="N10" s="12" t="str">
        <f>IF(LEN(Table23[[#This Row],[!type]])&gt;0,IF(Table23[[#This Row],[!type]]=N$1,"1","rg:None"),"-")</f>
        <v>rg:None</v>
      </c>
      <c r="O10" s="12" t="str">
        <f>IF(LEN(Table23[[#This Row],[!type]])&gt;0,IF(Table23[[#This Row],[!type]]=O$1,"1","rg:None"),"-")</f>
        <v>rg:None</v>
      </c>
      <c r="P10" s="12" t="str">
        <f>IF(LEN(Table23[[#This Row],[!type]])&gt;0,IF(Table23[[#This Row],[!type]]=P$1,"1","rg:None"),"-")</f>
        <v>rg:None</v>
      </c>
      <c r="Q10" s="12" t="str">
        <f>IF(LEN(Table23[[#This Row],[!type]])&gt;0,IF(Table23[[#This Row],[!type]]=Q$1,"1","rg:None"),"-")</f>
        <v>rg:None</v>
      </c>
      <c r="R10" s="12" t="str">
        <f>IF(LEN(Table23[[#This Row],[!path]]) &gt;0,Table23[[#This Row],[!path]],"rg:None")</f>
        <v>issuerservices</v>
      </c>
      <c r="S10" s="12" t="str">
        <f>IF(LEN(Table23[[#This Row],[!tag]]) &gt;0,Table23[[#This Row],[!tag]],"rg:None")</f>
        <v>IssuerService</v>
      </c>
      <c r="T10" s="12" t="str">
        <f>IF(LEN(Table23[[#This Row],[!paramDef]]) &gt;0,Table23[[#This Row],[!paramDef]],"rg:None")</f>
        <v>rg:None</v>
      </c>
      <c r="U10" s="12" t="str">
        <f>IF(LEN(Table23[[#This Row],[!respDef]]) &gt;0,Table23[[#This Row],[!respDef]],"rg:None")</f>
        <v>rg:None</v>
      </c>
      <c r="V10" s="12" t="str">
        <f>IF(LEN(Table23[[#This Row],[!Description]]) &gt;0,Table23[[#This Row],[!Description]],"rg:None")</f>
        <v>rg:None</v>
      </c>
      <c r="W10" s="4" t="str">
        <f>IF(LEN(Table23[[#This Row],[!permission]]) &gt;0,Table23[[#This Row],[!permission]],"rg:None")</f>
        <v>rg:None</v>
      </c>
    </row>
    <row r="11" spans="1:23" x14ac:dyDescent="0.3">
      <c r="A11" s="14" t="s">
        <v>25</v>
      </c>
      <c r="B11" s="26" t="s">
        <v>102</v>
      </c>
      <c r="C11" s="18" t="s">
        <v>98</v>
      </c>
      <c r="D11" s="18" t="str">
        <f>IF(COUNTIF(defs.csv!A:A,Table23[[#This Row],[!tag]])=0,"ERROR: No Model Defined", "Model Defined")</f>
        <v>Model Defined</v>
      </c>
      <c r="E11" s="3"/>
      <c r="F11" s="3"/>
      <c r="G11" s="3"/>
      <c r="H11" s="3"/>
      <c r="I11" s="8" t="str">
        <f t="shared" si="0"/>
        <v>Path</v>
      </c>
      <c r="J11" s="5" t="str">
        <f>IF(LEN(Table23[[#This Row],[!type]])&gt;0,IF(Table23[[#This Row],[!type]]=J$1,"1","rg:None"),"-")</f>
        <v>1</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Row],[!type]])&gt;0,IF(Table23[[#This Row],[!type]]=P$1,"1","rg:None"),"-")</f>
        <v>rg:None</v>
      </c>
      <c r="Q11" s="5" t="str">
        <f>IF(LEN(Table23[[#This Row],[!type]])&gt;0,IF(Table23[[#This Row],[!type]]=Q$1,"1","rg:None"),"-")</f>
        <v>rg:None</v>
      </c>
      <c r="R11" s="5" t="str">
        <f>IF(LEN(Table23[[#This Row],[!path]]) &gt;0,Table23[[#This Row],[!path]],"rg:None")</f>
        <v>jurisdictions</v>
      </c>
      <c r="S11" s="5" t="str">
        <f>IF(LEN(Table23[[#This Row],[!tag]]) &gt;0,Table23[[#This Row],[!tag]],"rg:None")</f>
        <v>Jurisdiction</v>
      </c>
      <c r="T11" s="5" t="str">
        <f>IF(LEN(Table23[[#This Row],[!paramDef]]) &gt;0,Table23[[#This Row],[!paramDef]],"rg:None")</f>
        <v>rg:None</v>
      </c>
      <c r="U11" s="5" t="str">
        <f>IF(LEN(Table23[[#This Row],[!respDef]]) &gt;0,Table23[[#This Row],[!respDef]],"rg:None")</f>
        <v>rg:None</v>
      </c>
      <c r="V11" s="5" t="str">
        <f>IF(LEN(Table23[[#This Row],[!Description]]) &gt;0,Table23[[#This Row],[!Description]],"rg:None")</f>
        <v>rg:None</v>
      </c>
      <c r="W11" s="4" t="str">
        <f>IF(LEN(Table23[[#This Row],[!permission]]) &gt;0,Table23[[#This Row],[!permission]],"rg:None")</f>
        <v>rg:None</v>
      </c>
    </row>
    <row r="12" spans="1:23" x14ac:dyDescent="0.3">
      <c r="A12" s="27" t="s">
        <v>25</v>
      </c>
      <c r="B12" s="27" t="s">
        <v>150</v>
      </c>
      <c r="C12" s="5" t="s">
        <v>114</v>
      </c>
      <c r="D12" s="5" t="str">
        <f>IF(COUNTIF(defs.csv!A:A,Table23[[#This Row],[!tag]])=0,"ERROR: No Model Defined", "Model Defined")</f>
        <v>Model Defined</v>
      </c>
      <c r="E12" s="4"/>
      <c r="F12" s="15"/>
      <c r="G12" s="10"/>
      <c r="H12" s="11"/>
      <c r="I12" s="12" t="str">
        <f>IF(LEN(A12) &gt;0,"Path","-")</f>
        <v>Path</v>
      </c>
      <c r="J12" s="4" t="str">
        <f>IF(LEN(Table23[[#This Row],[!type]])&gt;0,IF(Table23[[#This Row],[!type]]=J$1,"1","rg:None"),"-")</f>
        <v>1</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Row],[!type]])&gt;0,IF(Table23[[#This Row],[!type]]=Q$1,"1","rg:None"),"-")</f>
        <v>rg:None</v>
      </c>
      <c r="R12" s="4" t="str">
        <f>IF(LEN(Table23[[#This Row],[!path]]) &gt;0,Table23[[#This Row],[!path]],"rg:None")</f>
        <v>users</v>
      </c>
      <c r="S12" s="4" t="str">
        <f>IF(LEN(Table23[[#This Row],[!tag]]) &gt;0,Table23[[#This Row],[!tag]],"rg:None")</f>
        <v>User</v>
      </c>
      <c r="T12" s="4" t="str">
        <f>IF(LEN(Table23[[#This Row],[!paramDef]]) &gt;0,Table23[[#This Row],[!paramDef]],"rg:None")</f>
        <v>rg:None</v>
      </c>
      <c r="U12" s="4" t="str">
        <f>IF(LEN(Table23[[#This Row],[!respDef]]) &gt;0,Table23[[#This Row],[!respDef]],"rg:None")</f>
        <v>rg:None</v>
      </c>
      <c r="V12" s="4" t="str">
        <f>IF(LEN(Table23[[#This Row],[!Description]]) &gt;0,Table23[[#This Row],[!Description]],"rg:None")</f>
        <v>rg:None</v>
      </c>
      <c r="W12" s="4" t="str">
        <f>IF(LEN(Table23[[#This Row],[!permission]]) &gt;0,Table23[[#This Row],[!permission]],"rg:None")</f>
        <v>rg:None</v>
      </c>
    </row>
    <row r="13" spans="1:23" x14ac:dyDescent="0.3">
      <c r="A13" s="27" t="s">
        <v>25</v>
      </c>
      <c r="B13" s="27" t="s">
        <v>151</v>
      </c>
      <c r="C13" s="28" t="s">
        <v>129</v>
      </c>
      <c r="D13" s="28" t="str">
        <f>IF(COUNTIF(defs.csv!A:A,Table23[[#This Row],[!tag]])=0,"ERROR: No Model Defined", "Model Defined")</f>
        <v>Model Defined</v>
      </c>
      <c r="E13" s="4"/>
      <c r="F13" s="15"/>
      <c r="G13" s="10"/>
      <c r="H13" s="11"/>
      <c r="I13" s="12" t="str">
        <f>IF(LEN(A13) &gt;0,"Path","-")</f>
        <v>Path</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Row],[!type]])&gt;0,IF(Table23[[#This Row],[!type]]=Q$1,"1","rg:None"),"-")</f>
        <v>rg:None</v>
      </c>
      <c r="R13" s="4" t="str">
        <f>IF(LEN(Table23[[#This Row],[!path]]) &gt;0,Table23[[#This Row],[!path]],"rg:None")</f>
        <v>roles</v>
      </c>
      <c r="S13" s="4" t="str">
        <f>IF(LEN(Table23[[#This Row],[!tag]]) &gt;0,Table23[[#This Row],[!tag]],"rg:None")</f>
        <v>Role</v>
      </c>
      <c r="T13" s="4" t="str">
        <f>IF(LEN(Table23[[#This Row],[!paramDef]]) &gt;0,Table23[[#This Row],[!paramDef]],"rg:None")</f>
        <v>rg:None</v>
      </c>
      <c r="U13" s="4" t="str">
        <f>IF(LEN(Table23[[#This Row],[!respDef]]) &gt;0,Table23[[#This Row],[!respDef]],"rg:None")</f>
        <v>rg:None</v>
      </c>
      <c r="V13" s="4" t="str">
        <f>IF(LEN(Table23[[#This Row],[!Description]]) &gt;0,Table23[[#This Row],[!Description]],"rg:None")</f>
        <v>rg:None</v>
      </c>
      <c r="W13" s="4" t="str">
        <f>IF(LEN(Table23[[#This Row],[!permission]]) &gt;0,Table23[[#This Row],[!permission]],"rg:None")</f>
        <v>rg:None</v>
      </c>
    </row>
    <row r="14" spans="1:23" x14ac:dyDescent="0.3">
      <c r="A14" s="27" t="s">
        <v>25</v>
      </c>
      <c r="B14" s="27" t="s">
        <v>156</v>
      </c>
      <c r="C14" s="28" t="s">
        <v>134</v>
      </c>
      <c r="D14" s="28" t="str">
        <f>IF(COUNTIF(defs.csv!A:A,Table23[[#This Row],[!tag]])=0,"ERROR: No Model Defined", "Model Defined")</f>
        <v>Model Defined</v>
      </c>
      <c r="E14" s="4"/>
      <c r="F14" s="15"/>
      <c r="G14" s="10"/>
      <c r="H14" s="11"/>
      <c r="I14" s="12" t="str">
        <f>IF(LEN(A14) &gt;0,"Path","-")</f>
        <v>Path</v>
      </c>
      <c r="J14" s="4" t="str">
        <f>IF(LEN(Table23[[#This Row],[!type]])&gt;0,IF(Table23[[#This Row],[!type]]=J$1,"1","rg:None"),"-")</f>
        <v>1</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Row],[!type]])&gt;0,IF(Table23[[#This Row],[!type]]=Q$1,"1","rg:None"),"-")</f>
        <v>rg:None</v>
      </c>
      <c r="R14" s="4" t="str">
        <f>IF(LEN(Table23[[#This Row],[!path]]) &gt;0,Table23[[#This Row],[!path]],"rg:None")</f>
        <v>userroles</v>
      </c>
      <c r="S14" s="4" t="str">
        <f>IF(LEN(Table23[[#This Row],[!tag]]) &gt;0,Table23[[#This Row],[!tag]],"rg:None")</f>
        <v>UserRole</v>
      </c>
      <c r="T14" s="4" t="str">
        <f>IF(LEN(Table23[[#This Row],[!paramDef]]) &gt;0,Table23[[#This Row],[!paramDef]],"rg:None")</f>
        <v>rg:None</v>
      </c>
      <c r="U14" s="4" t="str">
        <f>IF(LEN(Table23[[#This Row],[!respDef]]) &gt;0,Table23[[#This Row],[!respDef]],"rg:None")</f>
        <v>rg:None</v>
      </c>
      <c r="V14" s="4" t="str">
        <f>IF(LEN(Table23[[#This Row],[!Description]]) &gt;0,Table23[[#This Row],[!Description]],"rg:None")</f>
        <v>rg:None</v>
      </c>
      <c r="W14" s="4" t="str">
        <f>IF(LEN(Table23[[#This Row],[!permission]]) &gt;0,Table23[[#This Row],[!permission]],"rg:None")</f>
        <v>rg:None</v>
      </c>
    </row>
    <row r="15" spans="1:23" x14ac:dyDescent="0.3">
      <c r="A15" s="27" t="s">
        <v>25</v>
      </c>
      <c r="B15" s="27" t="s">
        <v>152</v>
      </c>
      <c r="C15" s="28" t="s">
        <v>139</v>
      </c>
      <c r="D15" s="28" t="str">
        <f>IF(COUNTIF(defs.csv!A:A,Table23[[#This Row],[!tag]])=0,"ERROR: No Model Defined", "Model Defined")</f>
        <v>Model Defined</v>
      </c>
      <c r="E15" s="4"/>
      <c r="F15" s="15"/>
      <c r="G15" s="10"/>
      <c r="H15" s="11"/>
      <c r="I15" s="12" t="str">
        <f>IF(LEN(A15) &gt;0,"Path","-")</f>
        <v>Path</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Row],[!type]])&gt;0,IF(Table23[[#This Row],[!type]]=Q$1,"1","rg:None"),"-")</f>
        <v>rg:None</v>
      </c>
      <c r="R15" s="4" t="str">
        <f>IF(LEN(Table23[[#This Row],[!path]]) &gt;0,Table23[[#This Row],[!path]],"rg:None")</f>
        <v>permissions</v>
      </c>
      <c r="S15" s="4" t="str">
        <f>IF(LEN(Table23[[#This Row],[!tag]]) &gt;0,Table23[[#This Row],[!tag]],"rg:None")</f>
        <v>Permission</v>
      </c>
      <c r="T15" s="4" t="str">
        <f>IF(LEN(Table23[[#This Row],[!paramDef]]) &gt;0,Table23[[#This Row],[!paramDef]],"rg:None")</f>
        <v>rg:None</v>
      </c>
      <c r="U15" s="4" t="str">
        <f>IF(LEN(Table23[[#This Row],[!respDef]]) &gt;0,Table23[[#This Row],[!respDef]],"rg:None")</f>
        <v>rg:None</v>
      </c>
      <c r="V15" s="4" t="str">
        <f>IF(LEN(Table23[[#This Row],[!Description]]) &gt;0,Table23[[#This Row],[!Description]],"rg:None")</f>
        <v>rg:None</v>
      </c>
      <c r="W15" s="4" t="str">
        <f>IF(LEN(Table23[[#This Row],[!permission]]) &gt;0,Table23[[#This Row],[!permission]],"rg:None")</f>
        <v>rg:None</v>
      </c>
    </row>
    <row r="16" spans="1:23" x14ac:dyDescent="0.3">
      <c r="A16" s="27" t="s">
        <v>25</v>
      </c>
      <c r="B16" s="27" t="s">
        <v>153</v>
      </c>
      <c r="C16" s="28" t="s">
        <v>146</v>
      </c>
      <c r="D16" s="28" t="str">
        <f>IF(COUNTIF(defs.csv!A:A,Table23[[#This Row],[!tag]])=0,"ERROR: No Model Defined", "Model Defined")</f>
        <v>Model Defined</v>
      </c>
      <c r="E16" s="4"/>
      <c r="F16" s="15"/>
      <c r="G16" s="10"/>
      <c r="H16" s="11"/>
      <c r="I16" s="12" t="str">
        <f>IF(LEN(A16) &gt;0,"Path","-")</f>
        <v>Path</v>
      </c>
      <c r="J16" s="4" t="str">
        <f>IF(LEN(Table23[[#This Row],[!type]])&gt;0,IF(Table23[[#This Row],[!type]]=J$1,"1","rg:None"),"-")</f>
        <v>1</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Row],[!type]])&gt;0,IF(Table23[[#This Row],[!type]]=Q$1,"1","rg:None"),"-")</f>
        <v>rg:None</v>
      </c>
      <c r="R16" s="4" t="str">
        <f>IF(LEN(Table23[[#This Row],[!path]]) &gt;0,Table23[[#This Row],[!path]],"rg:None")</f>
        <v>rolepermissions</v>
      </c>
      <c r="S16" s="4" t="str">
        <f>IF(LEN(Table23[[#This Row],[!tag]]) &gt;0,Table23[[#This Row],[!tag]],"rg:None")</f>
        <v>RolePermission</v>
      </c>
      <c r="T16" s="4" t="str">
        <f>IF(LEN(Table23[[#This Row],[!paramDef]]) &gt;0,Table23[[#This Row],[!paramDef]],"rg:None")</f>
        <v>rg:None</v>
      </c>
      <c r="U16" s="4" t="str">
        <f>IF(LEN(Table23[[#This Row],[!respDef]]) &gt;0,Table23[[#This Row],[!respDef]],"rg:None")</f>
        <v>rg:None</v>
      </c>
      <c r="V16" s="4" t="str">
        <f>IF(LEN(Table23[[#This Row],[!Description]]) &gt;0,Table23[[#This Row],[!Description]],"rg:None")</f>
        <v>rg:None</v>
      </c>
      <c r="W16" s="4" t="str">
        <f>IF(LEN(Table23[[#This Row],[!permission]]) &gt;0,Table23[[#This Row],[!permission]],"rg:None")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2"/>
  <sheetViews>
    <sheetView workbookViewId="0"/>
  </sheetViews>
  <sheetFormatPr defaultColWidth="8.796875" defaultRowHeight="15.6" x14ac:dyDescent="0.3"/>
  <cols>
    <col min="2" max="2" width="23" bestFit="1" customWidth="1"/>
  </cols>
  <sheetData>
    <row r="1" spans="1:2" x14ac:dyDescent="0.3">
      <c r="A1" t="s">
        <v>15</v>
      </c>
      <c r="B1" t="s">
        <v>18</v>
      </c>
    </row>
    <row r="2" spans="1:2" x14ac:dyDescent="0.3">
      <c r="A2" t="s">
        <v>20</v>
      </c>
      <c r="B2" t="s">
        <v>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2"/>
  <sheetViews>
    <sheetView workbookViewId="0"/>
  </sheetViews>
  <sheetFormatPr defaultColWidth="8.796875" defaultRowHeight="15.6" x14ac:dyDescent="0.3"/>
  <cols>
    <col min="2" max="2" width="28.296875" bestFit="1" customWidth="1"/>
  </cols>
  <sheetData>
    <row r="1" spans="1:2" x14ac:dyDescent="0.3">
      <c r="A1" s="7" t="s">
        <v>15</v>
      </c>
      <c r="B1" s="7" t="s">
        <v>18</v>
      </c>
    </row>
    <row r="2" spans="1:2" x14ac:dyDescent="0.3">
      <c r="A2" t="s">
        <v>20</v>
      </c>
      <c r="B2"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2017-11-02T23:01:39Z</dcterms:modified>
</cp:coreProperties>
</file>