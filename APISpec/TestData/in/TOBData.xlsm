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in\"/>
    </mc:Choice>
  </mc:AlternateContent>
  <bookViews>
    <workbookView xWindow="0" yWindow="0" windowWidth="17280" windowHeight="3072" tabRatio="739" activeTab="1" xr2:uid="{00000000-000D-0000-FFFF-FFFF00000000}"/>
  </bookViews>
  <sheets>
    <sheet name="Names" sheetId="28" r:id="rId1"/>
    <sheet name="VerifiableOrg.csv" sheetId="40" r:id="rId2"/>
    <sheet name="VerifiableOrgType.csv" sheetId="44" r:id="rId3"/>
    <sheet name="Location.csv" sheetId="45" r:id="rId4"/>
    <sheet name="LocationType.csv" sheetId="46" r:id="rId5"/>
    <sheet name="DoingBusinessAs.csv" sheetId="47" r:id="rId6"/>
    <sheet name="LocationOrg.csv" sheetId="53" r:id="rId7"/>
    <sheet name="VerifiableClaim.csv" sheetId="48" r:id="rId8"/>
    <sheet name="VerifiableClaimType.csv" sheetId="49" r:id="rId9"/>
    <sheet name="InactiveClaimReason.csv" sheetId="50" r:id="rId10"/>
    <sheet name="IssuerService.csv" sheetId="51" r:id="rId11"/>
    <sheet name="Jurisdiction.csv" sheetId="52" r:id="rId12"/>
    <sheet name="users.csv" sheetId="36" r:id="rId13"/>
    <sheet name="roles.csv" sheetId="30" r:id="rId14"/>
    <sheet name="userRole.csv" sheetId="34" r:id="rId15"/>
    <sheet name="permissions.csv" sheetId="29" r:id="rId16"/>
    <sheet name="rolepermission.csv" sheetId="31" r:id="rId17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8" l="1"/>
  <c r="G4" i="48"/>
  <c r="G5" i="48"/>
  <c r="G6" i="48"/>
  <c r="G7" i="48"/>
  <c r="G8" i="48"/>
  <c r="G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6" i="48"/>
  <c r="G57" i="48"/>
  <c r="G58" i="48"/>
  <c r="G59" i="48"/>
  <c r="G60" i="48"/>
  <c r="G61" i="48"/>
  <c r="G62" i="48"/>
  <c r="G63" i="48"/>
  <c r="G64" i="48"/>
  <c r="G65" i="48"/>
  <c r="G66" i="48"/>
  <c r="G67" i="48"/>
  <c r="G68" i="48"/>
  <c r="G2" i="48"/>
  <c r="C3" i="53"/>
  <c r="C4" i="53"/>
  <c r="C5" i="53"/>
  <c r="C6" i="53"/>
  <c r="C7" i="53"/>
  <c r="C8" i="53"/>
  <c r="C9" i="53"/>
  <c r="C10" i="53"/>
  <c r="C11" i="53"/>
  <c r="C12" i="53"/>
  <c r="C13" i="53"/>
  <c r="C14" i="53"/>
  <c r="C15" i="53"/>
  <c r="C16" i="53"/>
  <c r="C17" i="53"/>
  <c r="C18" i="53"/>
  <c r="C19" i="53"/>
  <c r="C20" i="53"/>
  <c r="C21" i="53"/>
  <c r="C22" i="53"/>
  <c r="C23" i="53"/>
  <c r="C24" i="53"/>
  <c r="C25" i="53"/>
  <c r="C26" i="53"/>
  <c r="C27" i="53"/>
  <c r="C28" i="53"/>
  <c r="C29" i="53"/>
  <c r="C30" i="53"/>
  <c r="C31" i="53"/>
  <c r="C32" i="53"/>
  <c r="C33" i="53"/>
  <c r="C34" i="53"/>
  <c r="C35" i="53"/>
  <c r="C36" i="53"/>
  <c r="C37" i="53"/>
  <c r="C2" i="53"/>
  <c r="E37" i="53" l="1"/>
  <c r="D37" i="53"/>
  <c r="E36" i="53"/>
  <c r="D36" i="53"/>
  <c r="A36" i="53" s="1"/>
  <c r="E35" i="53"/>
  <c r="D35" i="53"/>
  <c r="A35" i="53" s="1"/>
  <c r="E34" i="53"/>
  <c r="D34" i="53"/>
  <c r="E33" i="53"/>
  <c r="E32" i="53"/>
  <c r="E31" i="53"/>
  <c r="E30" i="53"/>
  <c r="E29" i="53"/>
  <c r="E28" i="53"/>
  <c r="E27" i="53"/>
  <c r="E26" i="53"/>
  <c r="E25" i="53"/>
  <c r="E24" i="53"/>
  <c r="E23" i="53"/>
  <c r="E22" i="53"/>
  <c r="E21" i="53"/>
  <c r="E20" i="53"/>
  <c r="E19" i="53"/>
  <c r="E18" i="53"/>
  <c r="E17" i="53"/>
  <c r="E16" i="53"/>
  <c r="E15" i="53"/>
  <c r="E14" i="53"/>
  <c r="E13" i="53"/>
  <c r="E12" i="53"/>
  <c r="E11" i="53"/>
  <c r="E10" i="53"/>
  <c r="E9" i="53"/>
  <c r="E8" i="53"/>
  <c r="E7" i="53"/>
  <c r="E6" i="53"/>
  <c r="E5" i="53"/>
  <c r="E4" i="53"/>
  <c r="E3" i="53"/>
  <c r="E2" i="53"/>
  <c r="A37" i="53" l="1"/>
  <c r="E3" i="30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B58" i="48"/>
  <c r="K58" i="48" s="1"/>
  <c r="I58" i="48"/>
  <c r="J58" i="48" s="1"/>
  <c r="B59" i="48"/>
  <c r="I59" i="48"/>
  <c r="J59" i="48" s="1"/>
  <c r="K59" i="48"/>
  <c r="B60" i="48"/>
  <c r="B61" i="48" s="1"/>
  <c r="I60" i="48"/>
  <c r="J60" i="48" s="1"/>
  <c r="I61" i="48"/>
  <c r="J61" i="48" s="1"/>
  <c r="I62" i="48"/>
  <c r="J62" i="48" s="1"/>
  <c r="I63" i="48"/>
  <c r="J63" i="48" s="1"/>
  <c r="I64" i="48"/>
  <c r="J64" i="48" s="1"/>
  <c r="I65" i="48"/>
  <c r="J65" i="48" s="1"/>
  <c r="I66" i="48"/>
  <c r="J66" i="48" s="1"/>
  <c r="I67" i="48"/>
  <c r="J67" i="48" s="1"/>
  <c r="I68" i="48"/>
  <c r="J68" i="48" s="1"/>
  <c r="B41" i="48"/>
  <c r="K41" i="48" s="1"/>
  <c r="I41" i="48"/>
  <c r="J41" i="48" s="1"/>
  <c r="I42" i="48"/>
  <c r="J42" i="48" s="1"/>
  <c r="I43" i="48"/>
  <c r="J43" i="48" s="1"/>
  <c r="I44" i="48"/>
  <c r="J44" i="48" s="1"/>
  <c r="I45" i="48"/>
  <c r="J45" i="48" s="1"/>
  <c r="I46" i="48"/>
  <c r="J46" i="48" s="1"/>
  <c r="I47" i="48"/>
  <c r="J47" i="48" s="1"/>
  <c r="I48" i="48"/>
  <c r="J48" i="48" s="1"/>
  <c r="I49" i="48"/>
  <c r="J49" i="48" s="1"/>
  <c r="I50" i="48"/>
  <c r="J50" i="48" s="1"/>
  <c r="I51" i="48"/>
  <c r="J51" i="48" s="1"/>
  <c r="I52" i="48"/>
  <c r="J52" i="48" s="1"/>
  <c r="I53" i="48"/>
  <c r="J53" i="48" s="1"/>
  <c r="I54" i="48"/>
  <c r="J54" i="48" s="1"/>
  <c r="I55" i="48"/>
  <c r="J55" i="48" s="1"/>
  <c r="I56" i="48"/>
  <c r="J56" i="48" s="1"/>
  <c r="I57" i="48"/>
  <c r="J57" i="48" s="1"/>
  <c r="I3" i="48"/>
  <c r="J3" i="48" s="1"/>
  <c r="I4" i="48"/>
  <c r="J4" i="48" s="1"/>
  <c r="I5" i="48"/>
  <c r="J5" i="48" s="1"/>
  <c r="I6" i="48"/>
  <c r="J6" i="48" s="1"/>
  <c r="I7" i="48"/>
  <c r="J7" i="48" s="1"/>
  <c r="I8" i="48"/>
  <c r="J8" i="48" s="1"/>
  <c r="I9" i="48"/>
  <c r="J9" i="48" s="1"/>
  <c r="I10" i="48"/>
  <c r="J10" i="48" s="1"/>
  <c r="I11" i="48"/>
  <c r="J11" i="48" s="1"/>
  <c r="I12" i="48"/>
  <c r="J12" i="48" s="1"/>
  <c r="I13" i="48"/>
  <c r="J13" i="48" s="1"/>
  <c r="I14" i="48"/>
  <c r="J14" i="48" s="1"/>
  <c r="I15" i="48"/>
  <c r="J15" i="48" s="1"/>
  <c r="I16" i="48"/>
  <c r="J16" i="48" s="1"/>
  <c r="I17" i="48"/>
  <c r="J17" i="48" s="1"/>
  <c r="I18" i="48"/>
  <c r="J18" i="48" s="1"/>
  <c r="I19" i="48"/>
  <c r="J19" i="48" s="1"/>
  <c r="I20" i="48"/>
  <c r="J20" i="48" s="1"/>
  <c r="I21" i="48"/>
  <c r="J21" i="48" s="1"/>
  <c r="I22" i="48"/>
  <c r="J22" i="48" s="1"/>
  <c r="I23" i="48"/>
  <c r="J23" i="48" s="1"/>
  <c r="I24" i="48"/>
  <c r="J24" i="48" s="1"/>
  <c r="I25" i="48"/>
  <c r="J25" i="48" s="1"/>
  <c r="I26" i="48"/>
  <c r="J26" i="48" s="1"/>
  <c r="I27" i="48"/>
  <c r="J27" i="48" s="1"/>
  <c r="I28" i="48"/>
  <c r="J28" i="48" s="1"/>
  <c r="I29" i="48"/>
  <c r="J29" i="48" s="1"/>
  <c r="I30" i="48"/>
  <c r="J30" i="48" s="1"/>
  <c r="I31" i="48"/>
  <c r="J31" i="48" s="1"/>
  <c r="I32" i="48"/>
  <c r="J32" i="48" s="1"/>
  <c r="I33" i="48"/>
  <c r="J33" i="48" s="1"/>
  <c r="I34" i="48"/>
  <c r="J34" i="48" s="1"/>
  <c r="I35" i="48"/>
  <c r="J35" i="48" s="1"/>
  <c r="I36" i="48"/>
  <c r="J36" i="48" s="1"/>
  <c r="I37" i="48"/>
  <c r="J37" i="48" s="1"/>
  <c r="I38" i="48"/>
  <c r="J38" i="48" s="1"/>
  <c r="I39" i="48"/>
  <c r="J39" i="48" s="1"/>
  <c r="I40" i="48"/>
  <c r="J40" i="48" s="1"/>
  <c r="I2" i="48"/>
  <c r="J2" i="48" s="1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" i="40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" i="40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K61" i="48" l="1"/>
  <c r="B62" i="48"/>
  <c r="K60" i="48"/>
  <c r="B42" i="48"/>
  <c r="K62" i="48" l="1"/>
  <c r="B63" i="48"/>
  <c r="K42" i="48"/>
  <c r="B43" i="48"/>
  <c r="K63" i="48" l="1"/>
  <c r="B64" i="48"/>
  <c r="B44" i="48"/>
  <c r="K43" i="48"/>
  <c r="B65" i="48" l="1"/>
  <c r="K64" i="48"/>
  <c r="B45" i="48"/>
  <c r="K44" i="48"/>
  <c r="K65" i="48" l="1"/>
  <c r="B66" i="48"/>
  <c r="K45" i="48"/>
  <c r="B46" i="48"/>
  <c r="K66" i="48" l="1"/>
  <c r="B67" i="48"/>
  <c r="K46" i="48"/>
  <c r="B47" i="48"/>
  <c r="B68" i="48" l="1"/>
  <c r="K68" i="48" s="1"/>
  <c r="K67" i="48"/>
  <c r="B48" i="48"/>
  <c r="K47" i="48"/>
  <c r="B49" i="48" l="1"/>
  <c r="K48" i="48"/>
  <c r="K49" i="48" l="1"/>
  <c r="B50" i="48"/>
  <c r="K50" i="48" l="1"/>
  <c r="B51" i="48"/>
  <c r="B52" i="48" l="1"/>
  <c r="K51" i="48"/>
  <c r="B53" i="48" l="1"/>
  <c r="K52" i="48"/>
  <c r="K53" i="48" l="1"/>
  <c r="B54" i="48"/>
  <c r="K54" i="48" l="1"/>
  <c r="B55" i="48"/>
  <c r="B56" i="48" l="1"/>
  <c r="K55" i="48"/>
  <c r="B57" i="48" l="1"/>
  <c r="K57" i="48" s="1"/>
  <c r="K56" i="48"/>
  <c r="G2" i="52" l="1"/>
  <c r="I3" i="51"/>
  <c r="I4" i="51"/>
  <c r="I5" i="51"/>
  <c r="I2" i="51"/>
  <c r="E3" i="50"/>
  <c r="E2" i="50"/>
  <c r="H3" i="49"/>
  <c r="H4" i="49"/>
  <c r="H5" i="49"/>
  <c r="H6" i="49"/>
  <c r="H2" i="49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2" i="47"/>
  <c r="E3" i="46"/>
  <c r="E2" i="46"/>
  <c r="M3" i="45"/>
  <c r="M4" i="45"/>
  <c r="M5" i="45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25" i="45"/>
  <c r="M26" i="45"/>
  <c r="M27" i="45"/>
  <c r="M28" i="45"/>
  <c r="M29" i="45"/>
  <c r="M30" i="45"/>
  <c r="M31" i="45"/>
  <c r="M32" i="45"/>
  <c r="M33" i="45"/>
  <c r="M2" i="45"/>
  <c r="E3" i="44"/>
  <c r="E4" i="44"/>
  <c r="E5" i="44"/>
  <c r="E2" i="44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" i="40"/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2" i="45"/>
  <c r="B3" i="46"/>
  <c r="H3" i="46"/>
  <c r="D41" i="34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C2" i="48"/>
  <c r="F4" i="51"/>
  <c r="F2" i="51"/>
  <c r="F3" i="51"/>
  <c r="F5" i="51"/>
  <c r="E2" i="48"/>
  <c r="C34" i="47"/>
  <c r="D34" i="47"/>
  <c r="C35" i="47"/>
  <c r="D35" i="47"/>
  <c r="C36" i="47"/>
  <c r="D36" i="47"/>
  <c r="C37" i="47"/>
  <c r="A37" i="47" s="1"/>
  <c r="D37" i="47"/>
  <c r="B3" i="31" l="1"/>
  <c r="D2" i="48"/>
  <c r="C3" i="48" s="1"/>
  <c r="A36" i="47"/>
  <c r="B3" i="34"/>
  <c r="D2" i="34"/>
  <c r="A35" i="47"/>
  <c r="B3" i="36"/>
  <c r="D3" i="34" s="1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E3" i="45"/>
  <c r="D3" i="47" s="1"/>
  <c r="H3" i="45"/>
  <c r="I3" i="45"/>
  <c r="J3" i="45"/>
  <c r="K3" i="45"/>
  <c r="L3" i="45"/>
  <c r="E4" i="45"/>
  <c r="D4" i="47" s="1"/>
  <c r="H4" i="45"/>
  <c r="I4" i="45"/>
  <c r="J4" i="45"/>
  <c r="K4" i="45"/>
  <c r="L4" i="45"/>
  <c r="E5" i="45"/>
  <c r="D5" i="47" s="1"/>
  <c r="H5" i="45"/>
  <c r="I5" i="45"/>
  <c r="J5" i="45"/>
  <c r="K5" i="45"/>
  <c r="L5" i="45"/>
  <c r="E6" i="45"/>
  <c r="D6" i="47" s="1"/>
  <c r="H6" i="45"/>
  <c r="I6" i="45"/>
  <c r="J6" i="45"/>
  <c r="K6" i="45"/>
  <c r="L6" i="45"/>
  <c r="E7" i="45"/>
  <c r="D7" i="47" s="1"/>
  <c r="H7" i="45"/>
  <c r="I7" i="45"/>
  <c r="J7" i="45"/>
  <c r="K7" i="45"/>
  <c r="L7" i="45"/>
  <c r="E8" i="45"/>
  <c r="D8" i="47" s="1"/>
  <c r="H8" i="45"/>
  <c r="I8" i="45"/>
  <c r="J8" i="45"/>
  <c r="K8" i="45"/>
  <c r="L8" i="45"/>
  <c r="E9" i="45"/>
  <c r="D9" i="47" s="1"/>
  <c r="H9" i="45"/>
  <c r="I9" i="45"/>
  <c r="J9" i="45"/>
  <c r="K9" i="45"/>
  <c r="L9" i="45"/>
  <c r="E10" i="45"/>
  <c r="D10" i="47" s="1"/>
  <c r="H10" i="45"/>
  <c r="I10" i="45"/>
  <c r="J10" i="45"/>
  <c r="K10" i="45"/>
  <c r="L10" i="45"/>
  <c r="E11" i="45"/>
  <c r="D11" i="47" s="1"/>
  <c r="H11" i="45"/>
  <c r="I11" i="45"/>
  <c r="J11" i="45"/>
  <c r="K11" i="45"/>
  <c r="L11" i="45"/>
  <c r="E12" i="45"/>
  <c r="D12" i="47" s="1"/>
  <c r="H12" i="45"/>
  <c r="I12" i="45"/>
  <c r="J12" i="45"/>
  <c r="K12" i="45"/>
  <c r="L12" i="45"/>
  <c r="E13" i="45"/>
  <c r="D13" i="47" s="1"/>
  <c r="H13" i="45"/>
  <c r="I13" i="45"/>
  <c r="J13" i="45"/>
  <c r="K13" i="45"/>
  <c r="L13" i="45"/>
  <c r="E14" i="45"/>
  <c r="D14" i="47" s="1"/>
  <c r="H14" i="45"/>
  <c r="I14" i="45"/>
  <c r="J14" i="45"/>
  <c r="K14" i="45"/>
  <c r="L14" i="45"/>
  <c r="E15" i="45"/>
  <c r="D15" i="47" s="1"/>
  <c r="H15" i="45"/>
  <c r="I15" i="45"/>
  <c r="J15" i="45"/>
  <c r="K15" i="45"/>
  <c r="L15" i="45"/>
  <c r="E16" i="45"/>
  <c r="D16" i="47" s="1"/>
  <c r="H16" i="45"/>
  <c r="I16" i="45"/>
  <c r="J16" i="45"/>
  <c r="K16" i="45"/>
  <c r="L16" i="45"/>
  <c r="E17" i="45"/>
  <c r="D17" i="47" s="1"/>
  <c r="H17" i="45"/>
  <c r="I17" i="45"/>
  <c r="J17" i="45"/>
  <c r="K17" i="45"/>
  <c r="L17" i="45"/>
  <c r="E18" i="45"/>
  <c r="D18" i="47" s="1"/>
  <c r="H18" i="45"/>
  <c r="I18" i="45"/>
  <c r="J18" i="45"/>
  <c r="K18" i="45"/>
  <c r="L18" i="45"/>
  <c r="E19" i="45"/>
  <c r="D19" i="47" s="1"/>
  <c r="H19" i="45"/>
  <c r="I19" i="45"/>
  <c r="J19" i="45"/>
  <c r="K19" i="45"/>
  <c r="L19" i="45"/>
  <c r="E20" i="45"/>
  <c r="D20" i="47" s="1"/>
  <c r="H20" i="45"/>
  <c r="I20" i="45"/>
  <c r="J20" i="45"/>
  <c r="K20" i="45"/>
  <c r="L20" i="45"/>
  <c r="E21" i="45"/>
  <c r="D21" i="47" s="1"/>
  <c r="H21" i="45"/>
  <c r="I21" i="45"/>
  <c r="J21" i="45"/>
  <c r="K21" i="45"/>
  <c r="L21" i="45"/>
  <c r="E22" i="45"/>
  <c r="D22" i="47" s="1"/>
  <c r="H22" i="45"/>
  <c r="I22" i="45"/>
  <c r="J22" i="45"/>
  <c r="K22" i="45"/>
  <c r="L22" i="45"/>
  <c r="E23" i="45"/>
  <c r="D23" i="47" s="1"/>
  <c r="H23" i="45"/>
  <c r="I23" i="45"/>
  <c r="J23" i="45"/>
  <c r="K23" i="45"/>
  <c r="L23" i="45"/>
  <c r="E24" i="45"/>
  <c r="D24" i="47" s="1"/>
  <c r="H24" i="45"/>
  <c r="I24" i="45"/>
  <c r="J24" i="45"/>
  <c r="K24" i="45"/>
  <c r="L24" i="45"/>
  <c r="E25" i="45"/>
  <c r="D25" i="47" s="1"/>
  <c r="H25" i="45"/>
  <c r="I25" i="45"/>
  <c r="J25" i="45"/>
  <c r="K25" i="45"/>
  <c r="L25" i="45"/>
  <c r="E26" i="45"/>
  <c r="D26" i="47" s="1"/>
  <c r="H26" i="45"/>
  <c r="I26" i="45"/>
  <c r="J26" i="45"/>
  <c r="K26" i="45"/>
  <c r="L26" i="45"/>
  <c r="E27" i="45"/>
  <c r="D27" i="47" s="1"/>
  <c r="H27" i="45"/>
  <c r="I27" i="45"/>
  <c r="J27" i="45"/>
  <c r="K27" i="45"/>
  <c r="L27" i="45"/>
  <c r="E28" i="45"/>
  <c r="D28" i="47" s="1"/>
  <c r="H28" i="45"/>
  <c r="I28" i="45"/>
  <c r="J28" i="45"/>
  <c r="K28" i="45"/>
  <c r="L28" i="45"/>
  <c r="E29" i="45"/>
  <c r="D29" i="47" s="1"/>
  <c r="H29" i="45"/>
  <c r="I29" i="45"/>
  <c r="J29" i="45"/>
  <c r="K29" i="45"/>
  <c r="L29" i="45"/>
  <c r="E30" i="45"/>
  <c r="D30" i="47" s="1"/>
  <c r="H30" i="45"/>
  <c r="I30" i="45"/>
  <c r="J30" i="45"/>
  <c r="K30" i="45"/>
  <c r="L30" i="45"/>
  <c r="E31" i="45"/>
  <c r="D31" i="47" s="1"/>
  <c r="H31" i="45"/>
  <c r="I31" i="45"/>
  <c r="J31" i="45"/>
  <c r="K31" i="45"/>
  <c r="L31" i="45"/>
  <c r="E32" i="45"/>
  <c r="D32" i="47" s="1"/>
  <c r="H32" i="45"/>
  <c r="I32" i="45"/>
  <c r="J32" i="45"/>
  <c r="K32" i="45"/>
  <c r="L32" i="45"/>
  <c r="E33" i="45"/>
  <c r="D33" i="47" s="1"/>
  <c r="H33" i="45"/>
  <c r="I33" i="45"/>
  <c r="J33" i="45"/>
  <c r="K33" i="45"/>
  <c r="L33" i="45"/>
  <c r="C2" i="45"/>
  <c r="D2" i="53" s="1"/>
  <c r="A2" i="53" s="1"/>
  <c r="B2" i="53" s="1"/>
  <c r="G2" i="53" s="1"/>
  <c r="L2" i="45"/>
  <c r="K2" i="45"/>
  <c r="J2" i="45"/>
  <c r="I2" i="45"/>
  <c r="H2" i="45"/>
  <c r="E2" i="45"/>
  <c r="D2" i="47" s="1"/>
  <c r="B4" i="31" l="1"/>
  <c r="G3" i="31"/>
  <c r="E3" i="48"/>
  <c r="D3" i="48"/>
  <c r="C4" i="48" s="1"/>
  <c r="B4" i="34"/>
  <c r="H3" i="34"/>
  <c r="B4" i="36"/>
  <c r="D4" i="34" s="1"/>
  <c r="K3" i="36"/>
  <c r="C3" i="45"/>
  <c r="D3" i="53" s="1"/>
  <c r="A3" i="53" s="1"/>
  <c r="B3" i="53" s="1"/>
  <c r="G3" i="53" s="1"/>
  <c r="C2" i="47"/>
  <c r="C2" i="40"/>
  <c r="B5" i="31" l="1"/>
  <c r="G4" i="31"/>
  <c r="D4" i="48"/>
  <c r="C5" i="48" s="1"/>
  <c r="D5" i="48" s="1"/>
  <c r="C6" i="48" s="1"/>
  <c r="E4" i="48"/>
  <c r="B5" i="34"/>
  <c r="H4" i="34"/>
  <c r="A2" i="47"/>
  <c r="B2" i="47" s="1"/>
  <c r="B5" i="36"/>
  <c r="D5" i="34" s="1"/>
  <c r="K4" i="36"/>
  <c r="C4" i="45"/>
  <c r="D4" i="53" s="1"/>
  <c r="A4" i="53" s="1"/>
  <c r="B4" i="53" s="1"/>
  <c r="G4" i="53" s="1"/>
  <c r="C3" i="47"/>
  <c r="H2" i="50"/>
  <c r="H2" i="46"/>
  <c r="B2" i="40"/>
  <c r="G2" i="40" s="1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B2" i="48"/>
  <c r="B3" i="48" s="1"/>
  <c r="B2" i="46"/>
  <c r="B2" i="45"/>
  <c r="O2" i="45" s="1"/>
  <c r="B2" i="44"/>
  <c r="B3" i="44" s="1"/>
  <c r="H3" i="44" s="1"/>
  <c r="I2" i="52"/>
  <c r="E3" i="34" l="1"/>
  <c r="E2" i="34"/>
  <c r="E4" i="31"/>
  <c r="E5" i="31"/>
  <c r="E6" i="31"/>
  <c r="E3" i="31"/>
  <c r="B6" i="31"/>
  <c r="G6" i="31" s="1"/>
  <c r="G5" i="31"/>
  <c r="J2" i="49"/>
  <c r="A2" i="48"/>
  <c r="E5" i="48"/>
  <c r="E6" i="48" s="1"/>
  <c r="K3" i="48"/>
  <c r="B4" i="48"/>
  <c r="K2" i="48"/>
  <c r="G2" i="47"/>
  <c r="F2" i="53" s="1"/>
  <c r="B3" i="45"/>
  <c r="J2" i="40"/>
  <c r="B3" i="40"/>
  <c r="B6" i="34"/>
  <c r="H5" i="34"/>
  <c r="A3" i="47"/>
  <c r="B3" i="47" s="1"/>
  <c r="B6" i="36"/>
  <c r="D6" i="34" s="1"/>
  <c r="K5" i="36"/>
  <c r="D6" i="48"/>
  <c r="C7" i="48" s="1"/>
  <c r="J3" i="49"/>
  <c r="B4" i="49"/>
  <c r="K3" i="51"/>
  <c r="K2" i="51"/>
  <c r="C5" i="45"/>
  <c r="D5" i="53" s="1"/>
  <c r="A5" i="53" s="1"/>
  <c r="B5" i="53" s="1"/>
  <c r="G5" i="53" s="1"/>
  <c r="C4" i="47"/>
  <c r="H2" i="44"/>
  <c r="B4" i="44"/>
  <c r="K4" i="48" l="1"/>
  <c r="B5" i="48"/>
  <c r="G3" i="47"/>
  <c r="F3" i="53" s="1"/>
  <c r="O3" i="45"/>
  <c r="B4" i="45"/>
  <c r="A2" i="40"/>
  <c r="J3" i="40"/>
  <c r="B4" i="40"/>
  <c r="B7" i="34"/>
  <c r="H6" i="34"/>
  <c r="A4" i="47"/>
  <c r="B4" i="47" s="1"/>
  <c r="B7" i="36"/>
  <c r="D7" i="34" s="1"/>
  <c r="K6" i="36"/>
  <c r="D7" i="48"/>
  <c r="C8" i="48" s="1"/>
  <c r="E7" i="48"/>
  <c r="J4" i="49"/>
  <c r="B5" i="49"/>
  <c r="B5" i="51"/>
  <c r="C6" i="45"/>
  <c r="D6" i="53" s="1"/>
  <c r="A6" i="53" s="1"/>
  <c r="B6" i="53" s="1"/>
  <c r="G6" i="53" s="1"/>
  <c r="C5" i="47"/>
  <c r="H4" i="44"/>
  <c r="B5" i="44"/>
  <c r="K5" i="48" l="1"/>
  <c r="B6" i="48"/>
  <c r="G4" i="47"/>
  <c r="F4" i="53" s="1"/>
  <c r="O4" i="45"/>
  <c r="B5" i="45"/>
  <c r="J4" i="40"/>
  <c r="B5" i="40"/>
  <c r="B8" i="34"/>
  <c r="H7" i="34"/>
  <c r="A5" i="47"/>
  <c r="B5" i="47" s="1"/>
  <c r="B8" i="36"/>
  <c r="D8" i="34" s="1"/>
  <c r="K7" i="36"/>
  <c r="D8" i="48"/>
  <c r="C9" i="48" s="1"/>
  <c r="E8" i="48"/>
  <c r="J5" i="49"/>
  <c r="B6" i="49"/>
  <c r="K5" i="51"/>
  <c r="C7" i="45"/>
  <c r="D7" i="53" s="1"/>
  <c r="A7" i="53" s="1"/>
  <c r="B7" i="53" s="1"/>
  <c r="G7" i="53" s="1"/>
  <c r="C6" i="47"/>
  <c r="H5" i="44"/>
  <c r="B7" i="48" l="1"/>
  <c r="K6" i="48"/>
  <c r="O5" i="45"/>
  <c r="G5" i="47"/>
  <c r="F5" i="53" s="1"/>
  <c r="B6" i="45"/>
  <c r="B6" i="40"/>
  <c r="J5" i="40"/>
  <c r="B9" i="34"/>
  <c r="H8" i="34"/>
  <c r="A6" i="47"/>
  <c r="B6" i="47" s="1"/>
  <c r="B9" i="36"/>
  <c r="D9" i="34" s="1"/>
  <c r="K8" i="36"/>
  <c r="D9" i="48"/>
  <c r="C10" i="48" s="1"/>
  <c r="E9" i="48"/>
  <c r="J6" i="49"/>
  <c r="C8" i="45"/>
  <c r="D8" i="53" s="1"/>
  <c r="A8" i="53" s="1"/>
  <c r="B8" i="53" s="1"/>
  <c r="G8" i="53" s="1"/>
  <c r="C7" i="47"/>
  <c r="K7" i="48" l="1"/>
  <c r="B8" i="48"/>
  <c r="B7" i="45"/>
  <c r="G6" i="47"/>
  <c r="F6" i="53" s="1"/>
  <c r="O6" i="45"/>
  <c r="B7" i="40"/>
  <c r="J6" i="40"/>
  <c r="B10" i="34"/>
  <c r="H9" i="34"/>
  <c r="A7" i="47"/>
  <c r="B7" i="47" s="1"/>
  <c r="B10" i="36"/>
  <c r="D10" i="34" s="1"/>
  <c r="K9" i="36"/>
  <c r="D10" i="48"/>
  <c r="C11" i="48" s="1"/>
  <c r="E10" i="48"/>
  <c r="C9" i="45"/>
  <c r="D9" i="53" s="1"/>
  <c r="A9" i="53" s="1"/>
  <c r="B9" i="53" s="1"/>
  <c r="G9" i="53" s="1"/>
  <c r="C8" i="47"/>
  <c r="B9" i="48" l="1"/>
  <c r="K8" i="48"/>
  <c r="G7" i="47"/>
  <c r="F7" i="53" s="1"/>
  <c r="O7" i="45"/>
  <c r="B8" i="45"/>
  <c r="J7" i="40"/>
  <c r="B8" i="40"/>
  <c r="B11" i="34"/>
  <c r="H10" i="34"/>
  <c r="A8" i="47"/>
  <c r="B8" i="47" s="1"/>
  <c r="B11" i="36"/>
  <c r="D11" i="34" s="1"/>
  <c r="K10" i="36"/>
  <c r="D11" i="48"/>
  <c r="C12" i="48" s="1"/>
  <c r="E11" i="48"/>
  <c r="C10" i="45"/>
  <c r="D10" i="53" s="1"/>
  <c r="A10" i="53" s="1"/>
  <c r="B10" i="53" s="1"/>
  <c r="G10" i="53" s="1"/>
  <c r="C9" i="47"/>
  <c r="B10" i="48" l="1"/>
  <c r="K9" i="48"/>
  <c r="G8" i="47"/>
  <c r="F8" i="53" s="1"/>
  <c r="B9" i="45"/>
  <c r="O8" i="45"/>
  <c r="B9" i="40"/>
  <c r="J8" i="40"/>
  <c r="B12" i="34"/>
  <c r="H11" i="34"/>
  <c r="A9" i="47"/>
  <c r="B9" i="47" s="1"/>
  <c r="B12" i="36"/>
  <c r="D12" i="34" s="1"/>
  <c r="K11" i="36"/>
  <c r="D12" i="48"/>
  <c r="C13" i="48" s="1"/>
  <c r="E12" i="48"/>
  <c r="C11" i="45"/>
  <c r="D11" i="53" s="1"/>
  <c r="A11" i="53" s="1"/>
  <c r="B11" i="53" s="1"/>
  <c r="G11" i="53" s="1"/>
  <c r="C10" i="47"/>
  <c r="B11" i="48" l="1"/>
  <c r="K10" i="48"/>
  <c r="G9" i="47"/>
  <c r="F9" i="53" s="1"/>
  <c r="O9" i="45"/>
  <c r="B10" i="45"/>
  <c r="J9" i="40"/>
  <c r="B10" i="40"/>
  <c r="B13" i="34"/>
  <c r="H12" i="34"/>
  <c r="A10" i="47"/>
  <c r="B10" i="47" s="1"/>
  <c r="B13" i="36"/>
  <c r="D13" i="34" s="1"/>
  <c r="K12" i="36"/>
  <c r="D13" i="48"/>
  <c r="C14" i="48" s="1"/>
  <c r="E13" i="48"/>
  <c r="C12" i="45"/>
  <c r="D12" i="53" s="1"/>
  <c r="A12" i="53" s="1"/>
  <c r="B12" i="53" s="1"/>
  <c r="G12" i="53" s="1"/>
  <c r="C11" i="47"/>
  <c r="K11" i="48" l="1"/>
  <c r="B12" i="48"/>
  <c r="G10" i="47"/>
  <c r="F10" i="53" s="1"/>
  <c r="O10" i="45"/>
  <c r="B11" i="45"/>
  <c r="B11" i="40"/>
  <c r="J10" i="40"/>
  <c r="B14" i="34"/>
  <c r="H13" i="34"/>
  <c r="A11" i="47"/>
  <c r="B11" i="47" s="1"/>
  <c r="B14" i="36"/>
  <c r="D14" i="34" s="1"/>
  <c r="K13" i="36"/>
  <c r="D14" i="48"/>
  <c r="C15" i="48" s="1"/>
  <c r="E14" i="48"/>
  <c r="C13" i="45"/>
  <c r="D13" i="53" s="1"/>
  <c r="A13" i="53" s="1"/>
  <c r="B13" i="53" s="1"/>
  <c r="G13" i="53" s="1"/>
  <c r="C12" i="47"/>
  <c r="K12" i="48" l="1"/>
  <c r="B13" i="48"/>
  <c r="G11" i="47"/>
  <c r="F11" i="53" s="1"/>
  <c r="O11" i="45"/>
  <c r="B12" i="45"/>
  <c r="B12" i="40"/>
  <c r="J11" i="40"/>
  <c r="B15" i="34"/>
  <c r="H14" i="34"/>
  <c r="A12" i="47"/>
  <c r="B12" i="47" s="1"/>
  <c r="B15" i="36"/>
  <c r="D15" i="34" s="1"/>
  <c r="K14" i="36"/>
  <c r="D15" i="48"/>
  <c r="C16" i="48" s="1"/>
  <c r="E15" i="48"/>
  <c r="C14" i="45"/>
  <c r="D14" i="53" s="1"/>
  <c r="A14" i="53" s="1"/>
  <c r="B14" i="53" s="1"/>
  <c r="G14" i="53" s="1"/>
  <c r="C13" i="47"/>
  <c r="K13" i="48" l="1"/>
  <c r="B14" i="48"/>
  <c r="G12" i="47"/>
  <c r="F12" i="53" s="1"/>
  <c r="B13" i="45"/>
  <c r="O12" i="45"/>
  <c r="B13" i="40"/>
  <c r="J12" i="40"/>
  <c r="B16" i="34"/>
  <c r="H15" i="34"/>
  <c r="A13" i="47"/>
  <c r="B13" i="47" s="1"/>
  <c r="B16" i="36"/>
  <c r="D16" i="34" s="1"/>
  <c r="K15" i="36"/>
  <c r="D16" i="48"/>
  <c r="C17" i="48" s="1"/>
  <c r="E16" i="48"/>
  <c r="C15" i="45"/>
  <c r="D15" i="53" s="1"/>
  <c r="A15" i="53" s="1"/>
  <c r="B15" i="53" s="1"/>
  <c r="G15" i="53" s="1"/>
  <c r="C14" i="47"/>
  <c r="K14" i="48" l="1"/>
  <c r="B15" i="48"/>
  <c r="G13" i="47"/>
  <c r="F13" i="53" s="1"/>
  <c r="B14" i="45"/>
  <c r="O13" i="45"/>
  <c r="J13" i="40"/>
  <c r="B14" i="40"/>
  <c r="B17" i="34"/>
  <c r="H16" i="34"/>
  <c r="A14" i="47"/>
  <c r="B14" i="47" s="1"/>
  <c r="B17" i="36"/>
  <c r="D17" i="34" s="1"/>
  <c r="K16" i="36"/>
  <c r="D17" i="48"/>
  <c r="C18" i="48" s="1"/>
  <c r="E17" i="48"/>
  <c r="C16" i="45"/>
  <c r="D16" i="53" s="1"/>
  <c r="A16" i="53" s="1"/>
  <c r="B16" i="53" s="1"/>
  <c r="G16" i="53" s="1"/>
  <c r="C15" i="47"/>
  <c r="B16" i="48" l="1"/>
  <c r="K15" i="48"/>
  <c r="G14" i="47"/>
  <c r="F14" i="53" s="1"/>
  <c r="B15" i="45"/>
  <c r="O14" i="45"/>
  <c r="J14" i="40"/>
  <c r="B15" i="40"/>
  <c r="B18" i="34"/>
  <c r="H17" i="34"/>
  <c r="A15" i="47"/>
  <c r="B15" i="47" s="1"/>
  <c r="B18" i="36"/>
  <c r="D18" i="34" s="1"/>
  <c r="K17" i="36"/>
  <c r="D18" i="48"/>
  <c r="C19" i="48" s="1"/>
  <c r="E18" i="48"/>
  <c r="C17" i="45"/>
  <c r="D17" i="53" s="1"/>
  <c r="A17" i="53" s="1"/>
  <c r="B17" i="53" s="1"/>
  <c r="G17" i="53" s="1"/>
  <c r="C16" i="47"/>
  <c r="K16" i="48" l="1"/>
  <c r="B17" i="48"/>
  <c r="G15" i="47"/>
  <c r="F15" i="53" s="1"/>
  <c r="O15" i="45"/>
  <c r="B16" i="45"/>
  <c r="J15" i="40"/>
  <c r="B16" i="40"/>
  <c r="B19" i="34"/>
  <c r="H18" i="34"/>
  <c r="A16" i="47"/>
  <c r="B16" i="47" s="1"/>
  <c r="B19" i="36"/>
  <c r="D19" i="34" s="1"/>
  <c r="K18" i="36"/>
  <c r="D19" i="48"/>
  <c r="C20" i="48" s="1"/>
  <c r="E19" i="48"/>
  <c r="C18" i="45"/>
  <c r="D18" i="53" s="1"/>
  <c r="A18" i="53" s="1"/>
  <c r="B18" i="53" s="1"/>
  <c r="G18" i="53" s="1"/>
  <c r="C17" i="47"/>
  <c r="B18" i="48" l="1"/>
  <c r="K17" i="48"/>
  <c r="G16" i="47"/>
  <c r="F16" i="53" s="1"/>
  <c r="B17" i="45"/>
  <c r="O16" i="45"/>
  <c r="J16" i="40"/>
  <c r="B17" i="40"/>
  <c r="B20" i="34"/>
  <c r="H19" i="34"/>
  <c r="A17" i="47"/>
  <c r="B17" i="47" s="1"/>
  <c r="B20" i="36"/>
  <c r="D20" i="34" s="1"/>
  <c r="K19" i="36"/>
  <c r="D20" i="48"/>
  <c r="C21" i="48" s="1"/>
  <c r="E20" i="48"/>
  <c r="C19" i="45"/>
  <c r="D19" i="53" s="1"/>
  <c r="A19" i="53" s="1"/>
  <c r="B19" i="53" s="1"/>
  <c r="G19" i="53" s="1"/>
  <c r="C18" i="47"/>
  <c r="B19" i="48" l="1"/>
  <c r="K18" i="48"/>
  <c r="G17" i="47"/>
  <c r="F17" i="53" s="1"/>
  <c r="O17" i="45"/>
  <c r="B18" i="45"/>
  <c r="B18" i="40"/>
  <c r="J17" i="40"/>
  <c r="B21" i="34"/>
  <c r="H20" i="34"/>
  <c r="A18" i="47"/>
  <c r="B18" i="47" s="1"/>
  <c r="B21" i="36"/>
  <c r="D21" i="34" s="1"/>
  <c r="K20" i="36"/>
  <c r="D21" i="48"/>
  <c r="C22" i="48" s="1"/>
  <c r="E21" i="48"/>
  <c r="C20" i="45"/>
  <c r="D20" i="53" s="1"/>
  <c r="A20" i="53" s="1"/>
  <c r="B20" i="53" s="1"/>
  <c r="G20" i="53" s="1"/>
  <c r="C19" i="47"/>
  <c r="B20" i="48" l="1"/>
  <c r="K19" i="48"/>
  <c r="G18" i="47"/>
  <c r="F18" i="53" s="1"/>
  <c r="B19" i="45"/>
  <c r="O18" i="45"/>
  <c r="B19" i="40"/>
  <c r="J18" i="40"/>
  <c r="B22" i="34"/>
  <c r="H21" i="34"/>
  <c r="A19" i="47"/>
  <c r="B19" i="47" s="1"/>
  <c r="B22" i="36"/>
  <c r="D22" i="34" s="1"/>
  <c r="K21" i="36"/>
  <c r="D22" i="48"/>
  <c r="C23" i="48" s="1"/>
  <c r="E22" i="48"/>
  <c r="C21" i="45"/>
  <c r="D21" i="53" s="1"/>
  <c r="A21" i="53" s="1"/>
  <c r="B21" i="53" s="1"/>
  <c r="G21" i="53" s="1"/>
  <c r="C20" i="47"/>
  <c r="B21" i="48" l="1"/>
  <c r="K20" i="48"/>
  <c r="G19" i="47"/>
  <c r="F19" i="53" s="1"/>
  <c r="O19" i="45"/>
  <c r="B20" i="45"/>
  <c r="B20" i="40"/>
  <c r="J19" i="40"/>
  <c r="B23" i="34"/>
  <c r="H22" i="34"/>
  <c r="A20" i="47"/>
  <c r="B20" i="47" s="1"/>
  <c r="B23" i="36"/>
  <c r="D23" i="34" s="1"/>
  <c r="K22" i="36"/>
  <c r="D23" i="48"/>
  <c r="C24" i="48" s="1"/>
  <c r="E23" i="48"/>
  <c r="C22" i="45"/>
  <c r="D22" i="53" s="1"/>
  <c r="A22" i="53" s="1"/>
  <c r="B22" i="53" s="1"/>
  <c r="G22" i="53" s="1"/>
  <c r="C21" i="47"/>
  <c r="K21" i="48" l="1"/>
  <c r="B22" i="48"/>
  <c r="G20" i="47"/>
  <c r="F20" i="53" s="1"/>
  <c r="O20" i="45"/>
  <c r="B21" i="45"/>
  <c r="J20" i="40"/>
  <c r="B21" i="40"/>
  <c r="B24" i="34"/>
  <c r="H23" i="34"/>
  <c r="A21" i="47"/>
  <c r="B21" i="47" s="1"/>
  <c r="B24" i="36"/>
  <c r="D24" i="34" s="1"/>
  <c r="K23" i="36"/>
  <c r="D24" i="48"/>
  <c r="C25" i="48" s="1"/>
  <c r="E24" i="48"/>
  <c r="C23" i="45"/>
  <c r="D23" i="53" s="1"/>
  <c r="A23" i="53" s="1"/>
  <c r="B23" i="53" s="1"/>
  <c r="G23" i="53" s="1"/>
  <c r="C22" i="47"/>
  <c r="K22" i="48" l="1"/>
  <c r="B23" i="48"/>
  <c r="G21" i="47"/>
  <c r="F21" i="53" s="1"/>
  <c r="O21" i="45"/>
  <c r="B22" i="45"/>
  <c r="J21" i="40"/>
  <c r="B22" i="40"/>
  <c r="B25" i="34"/>
  <c r="H24" i="34"/>
  <c r="A22" i="47"/>
  <c r="B22" i="47" s="1"/>
  <c r="B25" i="36"/>
  <c r="D25" i="34" s="1"/>
  <c r="K24" i="36"/>
  <c r="D25" i="48"/>
  <c r="C26" i="48" s="1"/>
  <c r="E25" i="48"/>
  <c r="C24" i="45"/>
  <c r="D24" i="53" s="1"/>
  <c r="A24" i="53" s="1"/>
  <c r="B24" i="53" s="1"/>
  <c r="G24" i="53" s="1"/>
  <c r="C23" i="47"/>
  <c r="K23" i="48" l="1"/>
  <c r="B24" i="48"/>
  <c r="G22" i="47"/>
  <c r="F22" i="53" s="1"/>
  <c r="O22" i="45"/>
  <c r="B23" i="45"/>
  <c r="B23" i="40"/>
  <c r="J22" i="40"/>
  <c r="B26" i="34"/>
  <c r="H25" i="34"/>
  <c r="A23" i="47"/>
  <c r="B23" i="47" s="1"/>
  <c r="B26" i="36"/>
  <c r="D26" i="34" s="1"/>
  <c r="K25" i="36"/>
  <c r="D26" i="48"/>
  <c r="C27" i="48" s="1"/>
  <c r="E26" i="48"/>
  <c r="C25" i="45"/>
  <c r="D25" i="53" s="1"/>
  <c r="A25" i="53" s="1"/>
  <c r="B25" i="53" s="1"/>
  <c r="G25" i="53" s="1"/>
  <c r="C24" i="47"/>
  <c r="B25" i="48" l="1"/>
  <c r="K24" i="48"/>
  <c r="G23" i="47"/>
  <c r="F23" i="53" s="1"/>
  <c r="B24" i="45"/>
  <c r="O23" i="45"/>
  <c r="B24" i="40"/>
  <c r="J23" i="40"/>
  <c r="B27" i="34"/>
  <c r="H26" i="34"/>
  <c r="A24" i="47"/>
  <c r="B24" i="47" s="1"/>
  <c r="B27" i="36"/>
  <c r="D27" i="34" s="1"/>
  <c r="K26" i="36"/>
  <c r="D27" i="48"/>
  <c r="C28" i="48" s="1"/>
  <c r="E27" i="48"/>
  <c r="C26" i="45"/>
  <c r="D26" i="53" s="1"/>
  <c r="A26" i="53" s="1"/>
  <c r="B26" i="53" s="1"/>
  <c r="G26" i="53" s="1"/>
  <c r="C25" i="47"/>
  <c r="K25" i="48" l="1"/>
  <c r="B26" i="48"/>
  <c r="G24" i="47"/>
  <c r="F24" i="53" s="1"/>
  <c r="O24" i="45"/>
  <c r="B25" i="45"/>
  <c r="J24" i="40"/>
  <c r="B25" i="40"/>
  <c r="B28" i="34"/>
  <c r="H27" i="34"/>
  <c r="A25" i="47"/>
  <c r="B25" i="47" s="1"/>
  <c r="B28" i="36"/>
  <c r="D28" i="34" s="1"/>
  <c r="K27" i="36"/>
  <c r="D28" i="48"/>
  <c r="C29" i="48" s="1"/>
  <c r="E28" i="48"/>
  <c r="C27" i="45"/>
  <c r="D27" i="53" s="1"/>
  <c r="A27" i="53" s="1"/>
  <c r="B27" i="53" s="1"/>
  <c r="G27" i="53" s="1"/>
  <c r="C26" i="47"/>
  <c r="K26" i="48" l="1"/>
  <c r="B27" i="48"/>
  <c r="G25" i="47"/>
  <c r="F25" i="53" s="1"/>
  <c r="O25" i="45"/>
  <c r="B26" i="45"/>
  <c r="J25" i="40"/>
  <c r="B26" i="40"/>
  <c r="J26" i="40" s="1"/>
  <c r="B29" i="34"/>
  <c r="H28" i="34"/>
  <c r="A26" i="47"/>
  <c r="B26" i="47" s="1"/>
  <c r="B29" i="36"/>
  <c r="D29" i="34" s="1"/>
  <c r="K28" i="36"/>
  <c r="D29" i="48"/>
  <c r="C30" i="48" s="1"/>
  <c r="E29" i="48"/>
  <c r="C28" i="45"/>
  <c r="D28" i="53" s="1"/>
  <c r="A28" i="53" s="1"/>
  <c r="B28" i="53" s="1"/>
  <c r="G28" i="53" s="1"/>
  <c r="C27" i="47"/>
  <c r="K27" i="48" l="1"/>
  <c r="B28" i="48"/>
  <c r="G26" i="47"/>
  <c r="F26" i="53" s="1"/>
  <c r="B27" i="45"/>
  <c r="O26" i="45"/>
  <c r="B30" i="34"/>
  <c r="H29" i="34"/>
  <c r="A27" i="47"/>
  <c r="B27" i="47" s="1"/>
  <c r="B30" i="36"/>
  <c r="D30" i="34" s="1"/>
  <c r="K29" i="36"/>
  <c r="D30" i="48"/>
  <c r="C31" i="48" s="1"/>
  <c r="E30" i="48"/>
  <c r="C29" i="45"/>
  <c r="D29" i="53" s="1"/>
  <c r="A29" i="53" s="1"/>
  <c r="B29" i="53" s="1"/>
  <c r="G29" i="53" s="1"/>
  <c r="C28" i="47"/>
  <c r="B29" i="48" l="1"/>
  <c r="K28" i="48"/>
  <c r="G27" i="47"/>
  <c r="F27" i="53" s="1"/>
  <c r="B28" i="45"/>
  <c r="O27" i="45"/>
  <c r="B31" i="34"/>
  <c r="H30" i="34"/>
  <c r="A28" i="47"/>
  <c r="B28" i="47" s="1"/>
  <c r="B31" i="36"/>
  <c r="D31" i="34" s="1"/>
  <c r="K30" i="36"/>
  <c r="D31" i="48"/>
  <c r="C32" i="48" s="1"/>
  <c r="E31" i="48"/>
  <c r="C30" i="45"/>
  <c r="D30" i="53" s="1"/>
  <c r="A30" i="53" s="1"/>
  <c r="B30" i="53" s="1"/>
  <c r="G30" i="53" s="1"/>
  <c r="C29" i="47"/>
  <c r="K29" i="48" l="1"/>
  <c r="B30" i="48"/>
  <c r="G28" i="47"/>
  <c r="F28" i="53" s="1"/>
  <c r="B29" i="45"/>
  <c r="O28" i="45"/>
  <c r="B32" i="34"/>
  <c r="H31" i="34"/>
  <c r="A29" i="47"/>
  <c r="B29" i="47" s="1"/>
  <c r="B32" i="36"/>
  <c r="D32" i="34" s="1"/>
  <c r="K31" i="36"/>
  <c r="D32" i="48"/>
  <c r="C33" i="48" s="1"/>
  <c r="E32" i="48"/>
  <c r="C31" i="45"/>
  <c r="D31" i="53" s="1"/>
  <c r="A31" i="53" s="1"/>
  <c r="B31" i="53" s="1"/>
  <c r="G31" i="53" s="1"/>
  <c r="C30" i="47"/>
  <c r="K30" i="48" l="1"/>
  <c r="B31" i="48"/>
  <c r="G29" i="47"/>
  <c r="F29" i="53" s="1"/>
  <c r="B30" i="45"/>
  <c r="O29" i="45"/>
  <c r="B33" i="34"/>
  <c r="H32" i="34"/>
  <c r="A30" i="47"/>
  <c r="B30" i="47" s="1"/>
  <c r="B33" i="36"/>
  <c r="D33" i="34" s="1"/>
  <c r="K32" i="36"/>
  <c r="D33" i="48"/>
  <c r="C34" i="48" s="1"/>
  <c r="E33" i="48"/>
  <c r="C32" i="45"/>
  <c r="D32" i="53" s="1"/>
  <c r="A32" i="53" s="1"/>
  <c r="B32" i="53" s="1"/>
  <c r="G32" i="53" s="1"/>
  <c r="C31" i="47"/>
  <c r="K31" i="48" l="1"/>
  <c r="B32" i="48"/>
  <c r="G30" i="47"/>
  <c r="F30" i="53" s="1"/>
  <c r="B31" i="45"/>
  <c r="O30" i="45"/>
  <c r="B34" i="34"/>
  <c r="H33" i="34"/>
  <c r="A31" i="47"/>
  <c r="B31" i="47" s="1"/>
  <c r="B34" i="36"/>
  <c r="D34" i="34" s="1"/>
  <c r="K33" i="36"/>
  <c r="D34" i="48"/>
  <c r="C35" i="48" s="1"/>
  <c r="E34" i="48"/>
  <c r="C33" i="45"/>
  <c r="D33" i="53" s="1"/>
  <c r="C32" i="47"/>
  <c r="A33" i="53" l="1"/>
  <c r="B33" i="53" s="1"/>
  <c r="G33" i="53" s="1"/>
  <c r="A34" i="53"/>
  <c r="G4" i="40"/>
  <c r="G3" i="40"/>
  <c r="B33" i="48"/>
  <c r="K32" i="48"/>
  <c r="G15" i="40"/>
  <c r="G7" i="40"/>
  <c r="G24" i="40"/>
  <c r="G10" i="40"/>
  <c r="G13" i="40"/>
  <c r="G8" i="40"/>
  <c r="G12" i="40"/>
  <c r="G18" i="40"/>
  <c r="G23" i="40"/>
  <c r="G16" i="40"/>
  <c r="G20" i="40"/>
  <c r="G22" i="40"/>
  <c r="G25" i="40"/>
  <c r="G11" i="40"/>
  <c r="G21" i="40"/>
  <c r="G9" i="40"/>
  <c r="G6" i="40"/>
  <c r="G14" i="40"/>
  <c r="G26" i="40"/>
  <c r="G19" i="40"/>
  <c r="G17" i="40"/>
  <c r="G5" i="40"/>
  <c r="G31" i="47"/>
  <c r="F31" i="53" s="1"/>
  <c r="B32" i="45"/>
  <c r="O31" i="45"/>
  <c r="B35" i="34"/>
  <c r="H34" i="34"/>
  <c r="A32" i="47"/>
  <c r="B32" i="47" s="1"/>
  <c r="B35" i="36"/>
  <c r="D35" i="34" s="1"/>
  <c r="K34" i="36"/>
  <c r="D35" i="48"/>
  <c r="C36" i="48" s="1"/>
  <c r="E35" i="48"/>
  <c r="C33" i="47"/>
  <c r="B34" i="53" l="1"/>
  <c r="B35" i="53" s="1"/>
  <c r="A10" i="48"/>
  <c r="A6" i="48"/>
  <c r="A3" i="48"/>
  <c r="A9" i="48"/>
  <c r="A7" i="48"/>
  <c r="A16" i="48"/>
  <c r="A8" i="48"/>
  <c r="A35" i="48"/>
  <c r="A34" i="48"/>
  <c r="A5" i="48"/>
  <c r="A4" i="48"/>
  <c r="A33" i="48"/>
  <c r="A21" i="48"/>
  <c r="A22" i="48"/>
  <c r="A23" i="48"/>
  <c r="A24" i="48"/>
  <c r="A25" i="48"/>
  <c r="A26" i="48"/>
  <c r="A27" i="48"/>
  <c r="A28" i="48"/>
  <c r="A36" i="48"/>
  <c r="A11" i="48"/>
  <c r="A12" i="48"/>
  <c r="A13" i="48"/>
  <c r="A14" i="48"/>
  <c r="A15" i="48"/>
  <c r="A29" i="48"/>
  <c r="A30" i="48"/>
  <c r="A31" i="48"/>
  <c r="A32" i="48"/>
  <c r="A19" i="48"/>
  <c r="A20" i="48"/>
  <c r="A17" i="48"/>
  <c r="A18" i="48"/>
  <c r="K33" i="48"/>
  <c r="B34" i="48"/>
  <c r="G32" i="47"/>
  <c r="F32" i="53" s="1"/>
  <c r="B33" i="45"/>
  <c r="O32" i="45"/>
  <c r="B36" i="34"/>
  <c r="H35" i="34"/>
  <c r="A24" i="40"/>
  <c r="A16" i="40"/>
  <c r="A18" i="40"/>
  <c r="A14" i="40"/>
  <c r="A22" i="40"/>
  <c r="A17" i="40"/>
  <c r="A10" i="40"/>
  <c r="A15" i="40"/>
  <c r="A23" i="40"/>
  <c r="A12" i="40"/>
  <c r="A11" i="40"/>
  <c r="A19" i="40"/>
  <c r="A21" i="40"/>
  <c r="A6" i="40"/>
  <c r="A20" i="40"/>
  <c r="A25" i="40"/>
  <c r="A26" i="40"/>
  <c r="B36" i="36"/>
  <c r="D36" i="34" s="1"/>
  <c r="K35" i="36"/>
  <c r="A4" i="40"/>
  <c r="D36" i="48"/>
  <c r="C37" i="48" s="1"/>
  <c r="A37" i="48" s="1"/>
  <c r="E36" i="48"/>
  <c r="A34" i="47"/>
  <c r="A33" i="47"/>
  <c r="B33" i="47" s="1"/>
  <c r="B34" i="47" l="1"/>
  <c r="G34" i="53"/>
  <c r="B36" i="53"/>
  <c r="G35" i="53"/>
  <c r="K34" i="48"/>
  <c r="B35" i="48"/>
  <c r="O33" i="45"/>
  <c r="G33" i="47"/>
  <c r="F33" i="53" s="1"/>
  <c r="B37" i="34"/>
  <c r="H36" i="34"/>
  <c r="A5" i="40"/>
  <c r="A9" i="40"/>
  <c r="A3" i="40"/>
  <c r="A8" i="40"/>
  <c r="A7" i="40"/>
  <c r="A13" i="40"/>
  <c r="B37" i="36"/>
  <c r="D37" i="34" s="1"/>
  <c r="K36" i="36"/>
  <c r="D37" i="48"/>
  <c r="C38" i="48" s="1"/>
  <c r="A38" i="48" s="1"/>
  <c r="E37" i="48"/>
  <c r="B35" i="47" l="1"/>
  <c r="G34" i="47"/>
  <c r="B37" i="53"/>
  <c r="G37" i="53" s="1"/>
  <c r="G36" i="53"/>
  <c r="K35" i="48"/>
  <c r="B36" i="48"/>
  <c r="B38" i="34"/>
  <c r="H37" i="34"/>
  <c r="B38" i="36"/>
  <c r="D38" i="34" s="1"/>
  <c r="K37" i="36"/>
  <c r="D38" i="48"/>
  <c r="C39" i="48" s="1"/>
  <c r="A39" i="48" s="1"/>
  <c r="E38" i="48"/>
  <c r="F36" i="53" l="1"/>
  <c r="F35" i="53"/>
  <c r="F34" i="53"/>
  <c r="F37" i="53"/>
  <c r="B36" i="47"/>
  <c r="G35" i="47"/>
  <c r="B37" i="48"/>
  <c r="K36" i="48"/>
  <c r="B39" i="34"/>
  <c r="H38" i="34"/>
  <c r="B39" i="36"/>
  <c r="D39" i="34" s="1"/>
  <c r="K38" i="36"/>
  <c r="D39" i="48"/>
  <c r="C40" i="48" s="1"/>
  <c r="E39" i="48"/>
  <c r="B37" i="47" l="1"/>
  <c r="G37" i="47" s="1"/>
  <c r="G36" i="47"/>
  <c r="A40" i="48"/>
  <c r="K37" i="48"/>
  <c r="B38" i="48"/>
  <c r="B40" i="34"/>
  <c r="H39" i="34"/>
  <c r="B40" i="36"/>
  <c r="K39" i="36"/>
  <c r="D40" i="48"/>
  <c r="C41" i="48" s="1"/>
  <c r="E40" i="48"/>
  <c r="A41" i="48" l="1"/>
  <c r="E41" i="48"/>
  <c r="D41" i="48"/>
  <c r="C42" i="48" s="1"/>
  <c r="K38" i="48"/>
  <c r="B39" i="48"/>
  <c r="B41" i="34"/>
  <c r="H40" i="34"/>
  <c r="K40" i="36"/>
  <c r="D40" i="34"/>
  <c r="D42" i="48" l="1"/>
  <c r="C43" i="48" s="1"/>
  <c r="A42" i="48"/>
  <c r="E42" i="48"/>
  <c r="K39" i="48"/>
  <c r="B40" i="48"/>
  <c r="K40" i="48" s="1"/>
  <c r="B42" i="34"/>
  <c r="H41" i="34"/>
  <c r="D43" i="48" l="1"/>
  <c r="C44" i="48" s="1"/>
  <c r="A43" i="48"/>
  <c r="E43" i="48"/>
  <c r="B43" i="34"/>
  <c r="H43" i="34" s="1"/>
  <c r="H42" i="34"/>
  <c r="D44" i="48" l="1"/>
  <c r="C45" i="48" s="1"/>
  <c r="A44" i="48"/>
  <c r="E44" i="48"/>
  <c r="A45" i="48" l="1"/>
  <c r="E45" i="48"/>
  <c r="D45" i="48"/>
  <c r="C46" i="48" s="1"/>
  <c r="D46" i="48" l="1"/>
  <c r="C47" i="48" s="1"/>
  <c r="A46" i="48"/>
  <c r="E46" i="48"/>
  <c r="D47" i="48" l="1"/>
  <c r="C48" i="48" s="1"/>
  <c r="A47" i="48"/>
  <c r="E47" i="48"/>
  <c r="D48" i="48" l="1"/>
  <c r="C49" i="48" s="1"/>
  <c r="A48" i="48"/>
  <c r="E48" i="48"/>
  <c r="A49" i="48" l="1"/>
  <c r="E49" i="48"/>
  <c r="D49" i="48"/>
  <c r="C50" i="48" s="1"/>
  <c r="D50" i="48" l="1"/>
  <c r="C51" i="48" s="1"/>
  <c r="A50" i="48"/>
  <c r="E50" i="48"/>
  <c r="D51" i="48" l="1"/>
  <c r="C52" i="48" s="1"/>
  <c r="A51" i="48"/>
  <c r="E51" i="48"/>
  <c r="D52" i="48" l="1"/>
  <c r="C53" i="48" s="1"/>
  <c r="A52" i="48"/>
  <c r="E52" i="48"/>
  <c r="A53" i="48" l="1"/>
  <c r="E53" i="48"/>
  <c r="D53" i="48"/>
  <c r="C54" i="48" s="1"/>
  <c r="D54" i="48" l="1"/>
  <c r="C55" i="48" s="1"/>
  <c r="A54" i="48"/>
  <c r="E54" i="48"/>
  <c r="D55" i="48" l="1"/>
  <c r="C56" i="48" s="1"/>
  <c r="A55" i="48"/>
  <c r="E55" i="48"/>
  <c r="D56" i="48" l="1"/>
  <c r="C57" i="48" s="1"/>
  <c r="A56" i="48"/>
  <c r="E56" i="48"/>
  <c r="A57" i="48" l="1"/>
  <c r="E57" i="48"/>
  <c r="D57" i="48"/>
  <c r="C58" i="48" s="1"/>
  <c r="A58" i="48" l="1"/>
  <c r="E58" i="48"/>
  <c r="D58" i="48"/>
  <c r="C59" i="48" s="1"/>
  <c r="D59" i="48" l="1"/>
  <c r="C60" i="48" s="1"/>
  <c r="A59" i="48"/>
  <c r="E59" i="48"/>
  <c r="D60" i="48" l="1"/>
  <c r="C61" i="48" s="1"/>
  <c r="A60" i="48"/>
  <c r="E60" i="48"/>
  <c r="A61" i="48" l="1"/>
  <c r="D61" i="48"/>
  <c r="C62" i="48" s="1"/>
  <c r="E61" i="48"/>
  <c r="A62" i="48" l="1"/>
  <c r="E62" i="48"/>
  <c r="D62" i="48"/>
  <c r="C63" i="48" s="1"/>
  <c r="D63" i="48" l="1"/>
  <c r="C64" i="48" s="1"/>
  <c r="A63" i="48"/>
  <c r="E63" i="48"/>
  <c r="D64" i="48" l="1"/>
  <c r="C65" i="48" s="1"/>
  <c r="A64" i="48"/>
  <c r="E64" i="48"/>
  <c r="A65" i="48" l="1"/>
  <c r="E65" i="48"/>
  <c r="D65" i="48"/>
  <c r="C66" i="48" s="1"/>
  <c r="A66" i="48" l="1"/>
  <c r="E66" i="48"/>
  <c r="D66" i="48"/>
  <c r="C67" i="48" s="1"/>
  <c r="D67" i="48" l="1"/>
  <c r="C68" i="48" s="1"/>
  <c r="A67" i="48"/>
  <c r="E67" i="48"/>
  <c r="D68" i="48" l="1"/>
  <c r="A68" i="48"/>
  <c r="E68" i="48"/>
</calcChain>
</file>

<file path=xl/sharedStrings.xml><?xml version="1.0" encoding="utf-8"?>
<sst xmlns="http://schemas.openxmlformats.org/spreadsheetml/2006/main" count="5076" uniqueCount="2512">
  <si>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</si>
  <si>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</si>
  <si>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</si>
  <si>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</si>
  <si>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</si>
  <si>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</si>
  <si>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</si>
  <si>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</si>
  <si>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</si>
  <si>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</si>
  <si>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</si>
  <si>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</si>
  <si>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</si>
  <si>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</si>
  <si>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</si>
  <si>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</si>
  <si>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</si>
  <si>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</si>
  <si>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</si>
  <si>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</si>
  <si>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</si>
  <si>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</si>
  <si>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</si>
  <si>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</si>
  <si>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</si>
  <si>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</si>
  <si>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</si>
  <si>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</si>
  <si>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</si>
  <si>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</si>
  <si>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</si>
  <si>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</si>
  <si>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</si>
  <si>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</si>
  <si>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</si>
  <si>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</si>
  <si>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</si>
  <si>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</si>
  <si>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</si>
  <si>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</si>
  <si>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</si>
  <si>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</si>
  <si>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</si>
  <si>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</si>
  <si>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</si>
  <si>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</si>
  <si>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</si>
  <si>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</si>
  <si>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</si>
  <si>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</si>
  <si>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</si>
  <si>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</si>
  <si>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</si>
  <si>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</si>
  <si>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</si>
  <si>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</si>
  <si>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</si>
  <si>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</si>
  <si>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</si>
  <si>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</si>
  <si>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</si>
  <si>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</si>
  <si>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</si>
  <si>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</si>
  <si>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</si>
  <si>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</si>
  <si>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</si>
  <si>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</si>
  <si>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</si>
  <si>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</si>
  <si>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</si>
  <si>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</si>
  <si>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</si>
  <si>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</si>
  <si>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</si>
  <si>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</si>
  <si>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</si>
  <si>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</si>
  <si>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</si>
  <si>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</si>
  <si>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</si>
  <si>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</si>
  <si>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</si>
  <si>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</si>
  <si>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</si>
  <si>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</si>
  <si>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</si>
  <si>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</si>
  <si>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</si>
  <si>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</si>
  <si>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</si>
  <si>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</si>
  <si>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</si>
  <si>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</si>
  <si>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</si>
  <si>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</si>
  <si>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</si>
  <si>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</si>
  <si>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</si>
  <si>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</si>
  <si>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</si>
  <si>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</si>
  <si>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</si>
  <si>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</si>
  <si>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</si>
  <si>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</si>
  <si>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</si>
  <si>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</si>
  <si>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</si>
  <si>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</si>
  <si>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</si>
  <si>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</si>
  <si>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</si>
  <si>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</si>
  <si>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</si>
  <si>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</si>
  <si>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</si>
  <si>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</si>
  <si>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</si>
  <si>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</si>
  <si>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</si>
  <si>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</si>
  <si>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</si>
  <si>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</si>
  <si>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</si>
  <si>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</si>
  <si>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</si>
  <si>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</si>
  <si>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</si>
  <si>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</si>
  <si>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</si>
  <si>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</si>
  <si>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</si>
  <si>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</si>
  <si>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</si>
  <si>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</si>
  <si>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</si>
  <si>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</si>
  <si>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</si>
  <si>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</si>
  <si>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</si>
  <si>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</si>
  <si>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</si>
  <si>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</si>
  <si>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</si>
  <si>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</si>
  <si>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</si>
  <si>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</si>
  <si>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</si>
  <si>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</si>
  <si>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</si>
  <si>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</si>
  <si>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</si>
  <si>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</si>
  <si>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</si>
  <si>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</si>
  <si>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</si>
  <si>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</si>
  <si>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</si>
  <si>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</si>
  <si>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</si>
  <si>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</si>
  <si>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</si>
  <si>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</si>
  <si>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</si>
  <si>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</si>
  <si>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</si>
  <si>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</si>
  <si>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</si>
  <si>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</si>
  <si>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</si>
  <si>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</si>
  <si>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</si>
  <si>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</si>
  <si>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</si>
  <si>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</si>
  <si>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</si>
  <si>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</si>
  <si>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</si>
  <si>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</si>
  <si>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</si>
  <si>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</si>
  <si>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</si>
  <si>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</si>
  <si>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</si>
  <si>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</si>
  <si>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</si>
  <si>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</si>
  <si>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</si>
  <si>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</si>
  <si>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</si>
  <si>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</si>
  <si>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</si>
  <si>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</si>
  <si>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</si>
  <si>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</si>
  <si>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</si>
  <si>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</si>
  <si>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</si>
  <si>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</si>
  <si>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</si>
  <si>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</si>
  <si>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</si>
  <si>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</si>
  <si>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</si>
  <si>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</si>
  <si>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</si>
  <si>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</si>
  <si>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</si>
  <si>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</si>
  <si>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</si>
  <si>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</si>
  <si>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</si>
  <si>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</si>
  <si>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</si>
  <si>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</si>
  <si>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</si>
  <si>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</si>
  <si>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</si>
  <si>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</si>
  <si>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</si>
  <si>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</si>
  <si>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</si>
  <si>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</si>
  <si>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</si>
  <si>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</si>
  <si>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</si>
  <si>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</si>
  <si>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</si>
  <si>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</si>
  <si>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</si>
  <si>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</si>
  <si>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</si>
  <si>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</si>
  <si>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</si>
  <si>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</si>
  <si>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</si>
  <si>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</si>
  <si>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</si>
  <si>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</si>
  <si>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</si>
  <si>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</si>
  <si>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</si>
  <si>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</si>
  <si>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</si>
  <si>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</si>
  <si>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</si>
  <si>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</si>
  <si>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</si>
  <si>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</si>
  <si>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</si>
  <si>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</si>
  <si>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</si>
  <si>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</si>
  <si>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</si>
  <si>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</si>
  <si>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</si>
  <si>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</si>
  <si>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</si>
  <si>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</si>
  <si>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</si>
  <si>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</si>
  <si>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</si>
  <si>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</si>
  <si>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</si>
  <si>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</si>
  <si>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</si>
  <si>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</si>
  <si>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</si>
  <si>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</si>
  <si>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</si>
  <si>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</si>
  <si>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</si>
  <si>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</si>
  <si>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</si>
  <si>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</si>
  <si>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</si>
  <si>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</si>
  <si>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</si>
  <si>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</si>
  <si>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</si>
  <si>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</si>
  <si>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</si>
  <si>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</si>
  <si>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</si>
  <si>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</si>
  <si>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</si>
  <si>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</si>
  <si>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</si>
  <si>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</si>
  <si>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</si>
  <si>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</si>
  <si>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</si>
  <si>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</si>
  <si>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</si>
  <si>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</si>
  <si>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</si>
  <si>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</si>
  <si>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</si>
  <si>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</si>
  <si>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</si>
  <si>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</si>
  <si>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</si>
  <si>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</si>
  <si>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</si>
  <si>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</si>
  <si>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</si>
  <si>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</si>
  <si>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</si>
  <si>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</si>
  <si>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</si>
  <si>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</si>
  <si>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</si>
  <si>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</si>
  <si>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</si>
  <si>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</si>
  <si>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</si>
  <si>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</si>
  <si>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</si>
  <si>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</si>
  <si>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</si>
  <si>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</si>
  <si>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</si>
  <si>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</si>
  <si>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</si>
  <si>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</si>
  <si>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</si>
  <si>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</si>
  <si>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</si>
  <si>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</si>
  <si>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</si>
  <si>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</si>
  <si>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</si>
  <si>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</si>
  <si>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</si>
  <si>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</si>
  <si>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</si>
  <si>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</si>
  <si>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</si>
  <si>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</si>
  <si>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</si>
  <si>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</si>
  <si>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</si>
  <si>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</si>
  <si>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</si>
  <si>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</si>
  <si>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</si>
  <si>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</si>
  <si>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</si>
  <si>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</si>
  <si>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</si>
  <si>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</si>
  <si>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</si>
  <si>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</si>
  <si>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</si>
  <si>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</si>
  <si>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</si>
  <si>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</si>
  <si>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</si>
  <si>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</si>
  <si>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</si>
  <si>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</si>
  <si>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</si>
  <si>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</si>
  <si>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</si>
  <si>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</si>
  <si>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</si>
  <si>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</si>
  <si>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</si>
  <si>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</si>
  <si>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</si>
  <si>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</si>
  <si>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</si>
  <si>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</si>
  <si>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</si>
  <si>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</si>
  <si>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</si>
  <si>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</si>
  <si>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</si>
  <si>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</si>
  <si>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</si>
  <si>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</si>
  <si>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</si>
  <si>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</si>
  <si>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</si>
  <si>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</si>
  <si>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</si>
  <si>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</si>
  <si>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</si>
  <si>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</si>
  <si>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</si>
  <si>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</si>
  <si>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</si>
  <si>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</si>
  <si>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</si>
  <si>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</si>
  <si>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</si>
  <si>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</si>
  <si>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</si>
  <si>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</si>
  <si>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</si>
  <si>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</si>
  <si>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</si>
  <si>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</si>
  <si>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</si>
  <si>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</si>
  <si>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</si>
  <si>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</si>
  <si>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</si>
  <si>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</si>
  <si>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</si>
  <si>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</si>
  <si>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</si>
  <si>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</si>
  <si>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</si>
  <si>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</si>
  <si>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</si>
  <si>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</si>
  <si>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</si>
  <si>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</si>
  <si>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</si>
  <si>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</si>
  <si>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</si>
  <si>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</si>
  <si>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</si>
  <si>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</si>
  <si>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</si>
  <si>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</si>
  <si>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</si>
  <si>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</si>
  <si>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</si>
  <si>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</si>
  <si>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</si>
  <si>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</si>
  <si>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</si>
  <si>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</si>
  <si>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</si>
  <si>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</si>
  <si>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</si>
  <si>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</si>
  <si>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</si>
  <si>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</si>
  <si>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</si>
  <si>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</si>
  <si>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</si>
  <si>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</si>
  <si>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</si>
  <si>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</si>
  <si>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</si>
  <si>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</si>
  <si>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</si>
  <si>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</si>
  <si>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</si>
  <si>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</si>
  <si>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</si>
  <si>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</si>
  <si>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</si>
  <si>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</si>
  <si>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</si>
  <si>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</si>
  <si>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</si>
  <si>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</si>
  <si>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</si>
  <si>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</si>
  <si>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</si>
  <si>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</si>
  <si>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</si>
  <si>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</si>
  <si>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</si>
  <si>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</si>
  <si>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</si>
  <si>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</si>
  <si>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</si>
  <si>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</si>
  <si>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</si>
  <si>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</si>
  <si>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</si>
  <si>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</si>
  <si>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</si>
  <si>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</si>
  <si>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</si>
  <si>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</si>
  <si>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</si>
  <si>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</si>
  <si>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</si>
  <si>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</si>
  <si>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</si>
  <si>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</si>
  <si>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</si>
  <si>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</si>
  <si>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</si>
  <si>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</si>
  <si>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</si>
  <si>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</si>
  <si>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</si>
  <si>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</si>
  <si>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</si>
  <si>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</si>
  <si>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</si>
  <si>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</si>
  <si>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</si>
  <si>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</si>
  <si>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</si>
  <si>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</si>
  <si>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</si>
  <si>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</si>
  <si>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</si>
  <si>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</si>
  <si>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</si>
  <si>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</si>
  <si>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</si>
  <si>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</si>
  <si>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</si>
  <si>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</si>
  <si>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</si>
  <si>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</si>
  <si>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</si>
  <si>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</si>
  <si>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</si>
  <si>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</si>
  <si>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</si>
  <si>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</si>
  <si>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</si>
  <si>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</si>
  <si>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</si>
  <si>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</si>
  <si>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</si>
  <si>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</si>
  <si>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</si>
  <si>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</si>
  <si>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</si>
  <si>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</si>
  <si>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</si>
  <si>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</si>
  <si>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</si>
  <si>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</si>
  <si>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</si>
  <si>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</si>
  <si>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</si>
  <si>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</si>
  <si>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</si>
  <si>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</si>
  <si>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</si>
  <si>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</si>
  <si>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</si>
  <si>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</si>
  <si>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</si>
  <si>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</si>
  <si>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</si>
  <si>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</si>
  <si>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</si>
  <si>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</si>
  <si>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</si>
  <si>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</si>
  <si>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</si>
  <si>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</si>
  <si>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</si>
  <si>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</si>
  <si>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</si>
  <si>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</si>
  <si>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</si>
  <si>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</si>
  <si>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</si>
  <si>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</si>
  <si>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</si>
  <si>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</si>
  <si>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</si>
  <si>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</si>
  <si>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</si>
  <si>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</si>
  <si>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</si>
  <si>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</si>
  <si>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</si>
  <si>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</si>
  <si>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</si>
  <si>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</si>
  <si>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</si>
  <si>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</si>
  <si>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</si>
  <si>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</si>
  <si>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</si>
  <si>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</si>
  <si>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</si>
  <si>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</si>
  <si>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</si>
  <si>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</si>
  <si>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</si>
  <si>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</si>
  <si>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</si>
  <si>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</si>
  <si>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</si>
  <si>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</si>
  <si>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</si>
  <si>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</si>
  <si>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</si>
  <si>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</si>
  <si>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</si>
  <si>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</si>
  <si>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</si>
  <si>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</si>
  <si>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</si>
  <si>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</si>
  <si>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</si>
  <si>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</si>
  <si>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</si>
  <si>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</si>
  <si>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</si>
  <si>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</si>
  <si>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</si>
  <si>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</si>
  <si>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</si>
  <si>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</si>
  <si>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</si>
  <si>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</si>
  <si>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</si>
  <si>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</si>
  <si>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</si>
  <si>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</si>
  <si>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</si>
  <si>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</si>
  <si>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</si>
  <si>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</si>
  <si>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</si>
  <si>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</si>
  <si>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</si>
  <si>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</si>
  <si>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</si>
  <si>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</si>
  <si>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</si>
  <si>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</si>
  <si>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</si>
  <si>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</si>
  <si>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</si>
  <si>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</si>
  <si>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</si>
  <si>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</si>
  <si>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</si>
  <si>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</si>
  <si>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</si>
  <si>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</si>
  <si>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</si>
  <si>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</si>
  <si>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</si>
  <si>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</si>
  <si>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</si>
  <si>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</si>
  <si>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</si>
  <si>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</si>
  <si>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</si>
  <si>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</si>
  <si>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</si>
  <si>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</si>
  <si>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</si>
  <si>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</si>
  <si>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</si>
  <si>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</si>
  <si>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</si>
  <si>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</si>
  <si>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</si>
  <si>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</si>
  <si>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</si>
  <si>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</si>
  <si>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</si>
  <si>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</si>
  <si>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</si>
  <si>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</si>
  <si>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</si>
  <si>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</si>
  <si>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</si>
  <si>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</si>
  <si>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</si>
  <si>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</si>
  <si>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</si>
  <si>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</si>
  <si>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</si>
  <si>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</si>
  <si>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</si>
  <si>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</si>
  <si>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</si>
  <si>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</si>
  <si>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</si>
  <si>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</si>
  <si>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</si>
  <si>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</si>
  <si>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</si>
  <si>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</si>
  <si>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</si>
  <si>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</si>
  <si>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</si>
  <si>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</si>
  <si>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</si>
  <si>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</si>
  <si>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</si>
  <si>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</si>
  <si>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</si>
  <si>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</si>
  <si>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</si>
  <si>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</si>
  <si>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</si>
  <si>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</si>
  <si>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</si>
  <si>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</si>
  <si>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</si>
  <si>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</si>
  <si>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</si>
  <si>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</si>
  <si>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</si>
  <si>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</si>
  <si>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</si>
  <si>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</si>
  <si>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</si>
  <si>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</si>
  <si>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</si>
  <si>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</si>
  <si>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</si>
  <si>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</si>
  <si>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</si>
  <si>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</si>
  <si>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</si>
  <si>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</si>
  <si>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</si>
  <si>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</si>
  <si>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</si>
  <si>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</si>
  <si>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</si>
  <si>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</si>
  <si>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</si>
  <si>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</si>
  <si>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</si>
  <si>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</si>
  <si>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</si>
  <si>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</si>
  <si>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</si>
  <si>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</si>
  <si>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</si>
  <si>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</si>
  <si>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</si>
  <si>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</si>
  <si>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</si>
  <si>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</si>
  <si>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</si>
  <si>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</si>
  <si>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</si>
  <si>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</si>
  <si>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</si>
  <si>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</si>
  <si>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</si>
  <si>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</si>
  <si>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</si>
  <si>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</si>
  <si>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</si>
  <si>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</si>
  <si>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</si>
  <si>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</si>
  <si>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</si>
  <si>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</si>
  <si>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</si>
  <si>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</si>
  <si>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</si>
  <si>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</si>
  <si>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</si>
  <si>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</si>
  <si>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</si>
  <si>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</si>
  <si>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</si>
  <si>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</si>
  <si>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</si>
  <si>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</si>
  <si>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</si>
  <si>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</si>
  <si>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</si>
  <si>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</si>
  <si>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</si>
  <si>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</si>
  <si>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</si>
  <si>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</si>
  <si>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</si>
  <si>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</si>
  <si>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</si>
  <si>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</si>
  <si>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</si>
  <si>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</si>
  <si>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</si>
  <si>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</si>
  <si>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</si>
  <si>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</si>
  <si>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</si>
  <si>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</si>
  <si>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</si>
  <si>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</si>
  <si>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</si>
  <si>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</si>
  <si>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</si>
  <si>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</si>
  <si>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</si>
  <si>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</si>
  <si>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</si>
  <si>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</si>
  <si>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</si>
  <si>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</si>
  <si>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</si>
  <si>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</si>
  <si>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</si>
  <si>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</si>
  <si>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</si>
  <si>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</si>
  <si>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</si>
  <si>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</si>
  <si>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</si>
  <si>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</si>
  <si>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</si>
  <si>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</si>
  <si>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</si>
  <si>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</si>
  <si>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</si>
  <si>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</si>
  <si>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</si>
  <si>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</si>
  <si>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</si>
  <si>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</si>
  <si>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</si>
  <si>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</si>
  <si>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</si>
  <si>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</si>
  <si>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</si>
  <si>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</si>
  <si>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</si>
  <si>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</si>
  <si>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</si>
  <si>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</si>
  <si>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</si>
  <si>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</si>
  <si>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</si>
  <si>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</si>
  <si>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</si>
  <si>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</si>
  <si>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</si>
  <si>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</si>
  <si>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</si>
  <si>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</si>
  <si>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</si>
  <si>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</si>
  <si>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</si>
  <si>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</si>
  <si>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</si>
  <si>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</si>
  <si>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</si>
  <si>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</si>
  <si>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</si>
  <si>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</si>
  <si>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</si>
  <si>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</si>
  <si>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</si>
  <si>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</si>
  <si>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</si>
  <si>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</si>
  <si>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</si>
  <si>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</si>
  <si>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</si>
  <si>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</si>
  <si>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</si>
  <si>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</si>
  <si>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</si>
  <si>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</si>
  <si>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</si>
  <si>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</si>
  <si>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</si>
  <si>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</si>
  <si>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</si>
  <si>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</si>
  <si>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</si>
  <si>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</si>
  <si>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</si>
  <si>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</si>
  <si>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</si>
  <si>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</si>
  <si>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</si>
  <si>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</si>
  <si>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</si>
  <si>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</si>
  <si>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</si>
  <si>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</si>
  <si>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</si>
  <si>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</si>
  <si>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</si>
  <si>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</si>
  <si>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</si>
  <si>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</si>
  <si>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</si>
  <si>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</si>
  <si>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</si>
  <si>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</si>
  <si>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</si>
  <si>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</si>
  <si>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</si>
  <si>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</si>
  <si>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</si>
  <si>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</si>
  <si>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</si>
  <si>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</si>
  <si>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</si>
  <si>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</si>
  <si>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</si>
  <si>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</si>
  <si>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</si>
  <si>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</si>
  <si>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</si>
  <si>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</si>
  <si>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</si>
  <si>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</si>
  <si>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</si>
  <si>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</si>
  <si>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</si>
  <si>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</si>
  <si>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</si>
  <si>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</si>
  <si>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</si>
  <si>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</si>
  <si>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</si>
  <si>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</si>
  <si>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</si>
  <si>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</si>
  <si>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</si>
  <si>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</si>
  <si>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</si>
  <si>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</si>
  <si>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</si>
  <si>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</si>
  <si>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</si>
  <si>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</si>
  <si>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</si>
  <si>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</si>
  <si>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</si>
  <si>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</si>
  <si>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</si>
  <si>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</si>
  <si>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</si>
  <si>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</si>
  <si>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</si>
  <si>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</si>
  <si>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</si>
  <si>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</si>
  <si>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</si>
  <si>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</si>
  <si>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</si>
  <si>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</si>
  <si>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</si>
  <si>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</si>
  <si>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</si>
  <si>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</si>
  <si>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</si>
  <si>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</si>
  <si>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</si>
  <si>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</si>
  <si>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</si>
  <si>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</si>
  <si>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</si>
  <si>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</si>
  <si>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</si>
  <si>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</si>
  <si>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</si>
  <si>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</si>
  <si>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</si>
  <si>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</si>
  <si>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</si>
  <si>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</si>
  <si>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</si>
  <si>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</si>
  <si>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</si>
  <si>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</si>
  <si>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</si>
  <si>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</si>
  <si>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</si>
  <si>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</si>
  <si>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</si>
  <si>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</si>
  <si>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</si>
  <si>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</si>
  <si>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</si>
  <si>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</si>
  <si>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</si>
  <si>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</si>
  <si>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</si>
  <si>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</si>
  <si>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</si>
  <si>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</si>
  <si>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</si>
  <si>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</si>
  <si>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</si>
  <si>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</si>
  <si>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</si>
  <si>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</si>
  <si>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</si>
  <si>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</si>
  <si>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</si>
  <si>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</si>
  <si>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</si>
  <si>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</si>
  <si>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</si>
  <si>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</si>
  <si>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</si>
  <si>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</si>
  <si>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</si>
  <si>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</si>
  <si>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</si>
  <si>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</si>
  <si>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</si>
  <si>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</si>
  <si>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</si>
  <si>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</si>
  <si>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</si>
  <si>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</si>
  <si>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</si>
  <si>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</si>
  <si>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</si>
  <si>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</si>
  <si>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</si>
  <si>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</si>
  <si>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</si>
  <si>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</si>
  <si>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</si>
  <si>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</si>
  <si>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</si>
  <si>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</si>
  <si>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</si>
  <si>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</si>
  <si>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</si>
  <si>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</si>
  <si>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</si>
  <si>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</si>
  <si>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</si>
  <si>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</si>
  <si>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</si>
  <si>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</si>
  <si>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</si>
  <si>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</si>
  <si>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</si>
  <si>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</si>
  <si>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</si>
  <si>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</si>
  <si>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</si>
  <si>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</si>
  <si>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</si>
  <si>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</si>
  <si>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</si>
  <si>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</si>
  <si>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</si>
  <si>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</si>
  <si>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</si>
  <si>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</si>
  <si>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</si>
  <si>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</si>
  <si>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</si>
  <si>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</si>
  <si>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</si>
  <si>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</si>
  <si>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</si>
  <si>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</si>
  <si>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</si>
  <si>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</si>
  <si>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</si>
  <si>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</si>
  <si>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</si>
  <si>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</si>
  <si>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</si>
  <si>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</si>
  <si>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</si>
  <si>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</si>
  <si>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</si>
  <si>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</si>
  <si>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</si>
  <si>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</si>
  <si>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</si>
  <si>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</si>
  <si>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</si>
  <si>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</si>
  <si>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</si>
  <si>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</si>
  <si>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</si>
  <si>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</si>
  <si>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</si>
  <si>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</si>
  <si>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</si>
  <si>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</si>
  <si>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</si>
  <si>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</si>
  <si>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</si>
  <si>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</si>
  <si>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</si>
  <si>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</si>
  <si>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</si>
  <si>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</si>
  <si>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</si>
  <si>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</si>
  <si>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</si>
  <si>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</si>
  <si>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</si>
  <si>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</si>
  <si>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</si>
  <si>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</si>
  <si>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</si>
  <si>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</si>
  <si>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</si>
  <si>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</si>
  <si>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</si>
  <si>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</si>
  <si>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</si>
  <si>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</si>
  <si>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</si>
  <si>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</si>
  <si>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</si>
  <si>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</si>
  <si>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</si>
  <si>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</si>
  <si>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</si>
  <si>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</si>
  <si>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</si>
  <si>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</si>
  <si>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</si>
  <si>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</si>
  <si>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</si>
  <si>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</si>
  <si>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</si>
  <si>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</si>
  <si>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</si>
  <si>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</si>
  <si>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</si>
  <si>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</si>
  <si>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</si>
  <si>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</si>
  <si>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</si>
  <si>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</si>
  <si>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</si>
  <si>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</si>
  <si>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</si>
  <si>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</si>
  <si>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</si>
  <si>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</si>
  <si>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</si>
  <si>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</si>
  <si>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</si>
  <si>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</si>
  <si>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</si>
  <si>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</si>
  <si>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</si>
  <si>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</si>
  <si>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</si>
  <si>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</si>
  <si>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</si>
  <si>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</si>
  <si>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</si>
  <si>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</si>
  <si>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</si>
  <si>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</si>
  <si>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</si>
  <si>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</si>
  <si>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</si>
  <si>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</si>
  <si>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</si>
  <si>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</si>
  <si>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</si>
  <si>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</si>
  <si>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</si>
  <si>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</si>
  <si>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</si>
  <si>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</si>
  <si>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</si>
  <si>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</si>
  <si>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</si>
  <si>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</si>
  <si>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</si>
  <si>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</si>
  <si>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</si>
  <si>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</si>
  <si>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</si>
  <si>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</si>
  <si>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</si>
  <si>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</si>
  <si>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</si>
  <si>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</si>
  <si>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</si>
  <si>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</si>
  <si>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</si>
  <si>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</si>
  <si>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</si>
  <si>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</si>
  <si>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</si>
  <si>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</si>
  <si>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</si>
  <si>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</si>
  <si>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</si>
  <si>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</si>
  <si>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</si>
  <si>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</si>
  <si>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</si>
  <si>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</si>
  <si>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</si>
  <si>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</si>
  <si>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</si>
  <si>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</si>
  <si>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</si>
  <si>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</si>
  <si>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</si>
  <si>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</si>
  <si>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</si>
  <si>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</si>
  <si>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</si>
  <si>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</si>
  <si>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</si>
  <si>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</si>
  <si>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</si>
  <si>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</si>
  <si>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</si>
  <si>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</si>
  <si>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</si>
  <si>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</si>
  <si>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</si>
  <si>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</si>
  <si>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</si>
  <si>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</si>
  <si>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</si>
  <si>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</si>
  <si>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</si>
  <si>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</si>
  <si>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</si>
  <si>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</si>
  <si>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</si>
  <si>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</si>
  <si>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</si>
  <si>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</si>
  <si>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</si>
  <si>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</si>
  <si>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</si>
  <si>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</si>
  <si>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</si>
  <si>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</si>
  <si>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</si>
  <si>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</si>
  <si>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</si>
  <si>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</si>
  <si>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</si>
  <si>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</si>
  <si>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</si>
  <si>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</si>
  <si>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</si>
  <si>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</si>
  <si>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</si>
  <si>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</si>
  <si>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</si>
  <si>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</si>
  <si>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</si>
  <si>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</si>
  <si>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</si>
  <si>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</si>
  <si>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</si>
  <si>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</si>
  <si>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</si>
  <si>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</si>
  <si>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</si>
  <si>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</si>
  <si>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</si>
  <si>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</si>
  <si>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</si>
  <si>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</si>
  <si>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</si>
  <si>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</si>
  <si>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</si>
  <si>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</si>
  <si>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</si>
  <si>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</si>
  <si>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</si>
  <si>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</si>
  <si>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</si>
  <si>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</si>
  <si>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</si>
  <si>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</si>
  <si>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</si>
  <si>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</si>
  <si>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</si>
  <si>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</si>
  <si>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</si>
  <si>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</si>
  <si>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</si>
  <si>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</si>
  <si>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</si>
  <si>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</si>
  <si>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</si>
  <si>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</si>
  <si>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</si>
  <si>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</si>
  <si>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</si>
  <si>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</si>
  <si>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</si>
  <si>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</si>
  <si>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</si>
  <si>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</si>
  <si>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</si>
  <si>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</si>
  <si>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</si>
  <si>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</si>
  <si>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</si>
  <si>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</si>
  <si>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</si>
  <si>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</si>
  <si>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</si>
  <si>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</si>
  <si>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</si>
  <si>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</si>
  <si>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</si>
  <si>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</si>
  <si>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</si>
  <si>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</si>
  <si>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</si>
  <si>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</si>
  <si>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</si>
  <si>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</si>
  <si>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</si>
  <si>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</si>
  <si>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</si>
  <si>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</si>
  <si>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</si>
  <si>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</si>
  <si>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</si>
  <si>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</si>
  <si>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</si>
  <si>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</si>
  <si>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</si>
  <si>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</si>
  <si>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</si>
  <si>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</si>
  <si>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</si>
  <si>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</si>
  <si>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</si>
  <si>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</si>
  <si>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</si>
  <si>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</si>
  <si>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</si>
  <si>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</si>
  <si>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</si>
  <si>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</si>
  <si>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</si>
  <si>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</si>
  <si>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</si>
  <si>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</si>
  <si>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</si>
  <si>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</si>
  <si>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</si>
  <si>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</si>
  <si>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</si>
  <si>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</si>
  <si>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</si>
  <si>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</si>
  <si>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</si>
  <si>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</si>
  <si>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</si>
  <si>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</si>
  <si>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</si>
  <si>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</si>
  <si>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</si>
  <si>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</si>
  <si>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</si>
  <si>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</si>
  <si>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</si>
  <si>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</si>
  <si>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</si>
  <si>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</si>
  <si>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</si>
  <si>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</si>
  <si>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</si>
  <si>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</si>
  <si>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</si>
  <si>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</si>
  <si>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</si>
  <si>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</si>
  <si>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</si>
  <si>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</si>
  <si>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</si>
  <si>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</si>
  <si>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</si>
  <si>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</si>
  <si>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</si>
  <si>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</si>
  <si>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</si>
  <si>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</si>
  <si>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</si>
  <si>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</si>
  <si>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</si>
  <si>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</si>
  <si>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</si>
  <si>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</si>
  <si>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</si>
  <si>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</si>
  <si>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</si>
  <si>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</si>
  <si>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</si>
  <si>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</si>
  <si>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</si>
  <si>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</si>
  <si>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</si>
  <si>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</si>
  <si>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</si>
  <si>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</si>
  <si>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</si>
  <si>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</si>
  <si>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</si>
  <si>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</si>
  <si>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</si>
  <si>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</si>
  <si>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</si>
  <si>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</si>
  <si>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</si>
  <si>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</si>
  <si>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</si>
  <si>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</si>
  <si>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</si>
  <si>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</si>
  <si>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</si>
  <si>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</si>
  <si>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</si>
  <si>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</si>
  <si>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</si>
  <si>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</si>
  <si>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</si>
  <si>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</si>
  <si>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</si>
  <si>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</si>
  <si>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</si>
  <si>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</si>
  <si>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</si>
  <si>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</si>
  <si>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</si>
  <si>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</si>
  <si>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</si>
  <si>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</si>
  <si>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</si>
  <si>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</si>
  <si>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</si>
  <si>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</si>
  <si>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</si>
  <si>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</si>
  <si>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</si>
  <si>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</si>
  <si>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</si>
  <si>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</si>
  <si>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</si>
  <si>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</si>
  <si>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</si>
  <si>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</si>
  <si>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</si>
  <si>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</si>
  <si>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</si>
  <si>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</si>
  <si>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</si>
  <si>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</si>
  <si>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</si>
  <si>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</si>
  <si>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</si>
  <si>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</si>
  <si>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</si>
  <si>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</si>
  <si>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</si>
  <si>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</si>
  <si>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</si>
  <si>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</si>
  <si>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</si>
  <si>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</si>
  <si>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</si>
  <si>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</si>
  <si>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</si>
  <si>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</si>
  <si>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</si>
  <si>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</si>
  <si>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</si>
  <si>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</si>
  <si>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</si>
  <si>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</si>
  <si>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</si>
  <si>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</si>
  <si>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</si>
  <si>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</si>
  <si>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</si>
  <si>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</si>
  <si>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</si>
  <si>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</si>
  <si>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</si>
  <si>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</si>
  <si>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</si>
  <si>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</si>
  <si>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</si>
  <si>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</si>
  <si>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</si>
  <si>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</si>
  <si>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</si>
  <si>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</si>
  <si>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</si>
  <si>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</si>
  <si>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</si>
  <si>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</si>
  <si>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</si>
  <si>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</si>
  <si>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</si>
  <si>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</si>
  <si>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</si>
  <si>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</si>
  <si>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</si>
  <si>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</si>
  <si>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</si>
  <si>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</si>
  <si>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</si>
  <si>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</si>
  <si>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</si>
  <si>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</si>
  <si>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</si>
  <si>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</si>
  <si>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</si>
  <si>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</si>
  <si>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</si>
  <si>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</si>
  <si>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</si>
  <si>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</si>
  <si>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</si>
  <si>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</si>
  <si>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</si>
  <si>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</si>
  <si>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</si>
  <si>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</si>
  <si>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</si>
  <si>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</si>
  <si>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</si>
  <si>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</si>
  <si>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</si>
  <si>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</si>
  <si>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</si>
  <si>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</si>
  <si>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</si>
  <si>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</si>
  <si>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</si>
  <si>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</si>
  <si>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</si>
  <si>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</si>
  <si>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</si>
  <si>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</si>
  <si>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</si>
  <si>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</si>
  <si>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</si>
  <si>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</si>
  <si>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</si>
  <si>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</si>
  <si>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</si>
  <si>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</si>
  <si>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</si>
  <si>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</si>
  <si>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</si>
  <si>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</si>
  <si>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</si>
  <si>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</si>
  <si>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</si>
  <si>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</si>
  <si>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</si>
  <si>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</si>
  <si>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</si>
  <si>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</si>
  <si>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</si>
  <si>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</si>
  <si>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</si>
  <si>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</si>
  <si>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</si>
  <si>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</si>
  <si>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</si>
  <si>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</si>
  <si>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</si>
  <si>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</si>
  <si>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</si>
  <si>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</si>
  <si>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</si>
  <si>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</si>
  <si>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</si>
  <si>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</si>
  <si>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</si>
  <si>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</si>
  <si>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</si>
  <si>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</si>
  <si>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</si>
  <si>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</si>
  <si>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</si>
  <si>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</si>
  <si>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</si>
  <si>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</si>
  <si>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</si>
  <si>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</si>
  <si>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</si>
  <si>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</si>
  <si>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</si>
  <si>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</si>
  <si>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</si>
  <si>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</si>
  <si>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</si>
  <si>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</si>
  <si>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</si>
  <si>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</si>
  <si>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</si>
  <si>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</si>
  <si>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</si>
  <si>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</si>
  <si>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</si>
  <si>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</si>
  <si>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</si>
  <si>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</si>
  <si>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</si>
  <si>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</si>
  <si>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</si>
  <si>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</si>
  <si>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</si>
  <si>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</si>
  <si>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</si>
  <si>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</si>
  <si>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</si>
  <si>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</si>
  <si>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</si>
  <si>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</si>
  <si>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</si>
  <si>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</si>
  <si>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</si>
  <si>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</si>
  <si>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</si>
  <si>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</si>
  <si>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</si>
  <si>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</si>
  <si>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</si>
  <si>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</si>
  <si>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</si>
  <si>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</si>
  <si>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</si>
  <si>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</si>
  <si>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</si>
  <si>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</si>
  <si>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</si>
  <si>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</si>
  <si>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</si>
  <si>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</si>
  <si>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</si>
  <si>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</si>
  <si>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</si>
  <si>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</si>
  <si>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</si>
  <si>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</si>
  <si>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</si>
  <si>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</si>
  <si>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</si>
  <si>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</si>
  <si>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</si>
  <si>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</si>
  <si>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</si>
  <si>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</si>
  <si>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</si>
  <si>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</si>
  <si>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</si>
  <si>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</si>
  <si>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</si>
  <si>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</si>
  <si>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</si>
  <si>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</si>
  <si>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</si>
  <si>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</si>
  <si>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</si>
  <si>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</si>
  <si>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</si>
  <si>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</si>
  <si>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</si>
  <si>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</si>
  <si>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</si>
  <si>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</si>
  <si>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</si>
  <si>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</si>
  <si>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</si>
  <si>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</si>
  <si>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</si>
  <si>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</si>
  <si>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</si>
  <si>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</si>
  <si>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</si>
  <si>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</si>
  <si>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</si>
  <si>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</si>
  <si>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</si>
  <si>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</si>
  <si>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</si>
  <si>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</si>
  <si>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</si>
  <si>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</si>
  <si>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</si>
  <si>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</si>
  <si>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</si>
  <si>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</si>
  <si>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</si>
  <si>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</si>
  <si>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</si>
  <si>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</si>
  <si>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</si>
  <si>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</si>
  <si>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</si>
  <si>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</si>
  <si>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</si>
  <si>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</si>
  <si>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</si>
  <si>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</si>
  <si>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</si>
  <si>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</si>
  <si>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</si>
  <si>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</si>
  <si>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</si>
  <si>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</si>
  <si>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</si>
  <si>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</si>
  <si>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</si>
  <si>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</si>
  <si>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</si>
  <si>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</si>
  <si>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</si>
  <si>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</si>
  <si>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</si>
  <si>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</si>
  <si>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</si>
  <si>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</si>
  <si>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</si>
  <si>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</si>
  <si>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</si>
  <si>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</si>
  <si>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</si>
  <si>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</si>
  <si>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</si>
  <si>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</si>
  <si>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</si>
  <si>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</si>
  <si>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</si>
  <si>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</si>
  <si>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</si>
  <si>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</si>
  <si>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</si>
  <si>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</si>
  <si>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</si>
  <si>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</si>
  <si>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</si>
  <si>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</si>
  <si>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</si>
  <si>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</si>
  <si>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</si>
  <si>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</si>
  <si>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</si>
  <si>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</si>
  <si>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</si>
  <si>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</si>
  <si>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</si>
  <si>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</si>
  <si>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</si>
  <si>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</si>
  <si>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</si>
  <si>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</si>
  <si>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</si>
  <si>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</si>
  <si>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</si>
  <si>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</si>
  <si>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</si>
  <si>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</si>
  <si>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</si>
  <si>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</si>
  <si>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</si>
  <si>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</si>
  <si>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</si>
  <si>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</si>
  <si>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</si>
  <si>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</si>
  <si>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</si>
  <si>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</si>
  <si>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</si>
  <si>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</si>
  <si>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</si>
  <si>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</si>
  <si>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</si>
  <si>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</si>
  <si>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</si>
  <si>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</si>
  <si>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</si>
  <si>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</si>
  <si>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</si>
  <si>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</si>
  <si>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</si>
  <si>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</si>
  <si>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</si>
  <si>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</si>
  <si>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</si>
  <si>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</si>
  <si>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</si>
  <si>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</si>
  <si>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</si>
  <si>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</si>
  <si>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</si>
  <si>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</si>
  <si>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</si>
  <si>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</si>
  <si>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</si>
  <si>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</si>
  <si>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</si>
  <si>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</si>
  <si>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</si>
  <si>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</si>
  <si>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</si>
  <si>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</si>
  <si>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</si>
  <si>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</si>
  <si>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</si>
  <si>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</si>
  <si>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</si>
  <si>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</si>
  <si>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</si>
  <si>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</si>
  <si>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</si>
  <si>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</si>
  <si>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</si>
  <si>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</si>
  <si>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</si>
  <si>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</si>
  <si>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</si>
  <si>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</si>
  <si>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</si>
  <si>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</si>
  <si>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</si>
  <si>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</si>
  <si>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</si>
  <si>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</si>
  <si>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</si>
  <si>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</si>
  <si>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</si>
  <si>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</si>
  <si>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</si>
  <si>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</si>
  <si>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</si>
  <si>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</si>
  <si>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</si>
  <si>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</si>
  <si>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</si>
  <si>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</si>
  <si>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</si>
  <si>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</si>
  <si>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</si>
  <si>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</si>
  <si>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</si>
  <si>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</si>
  <si>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</si>
  <si>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</si>
  <si>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</si>
  <si>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</si>
  <si>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</si>
  <si>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</si>
  <si>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</si>
  <si>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</si>
  <si>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</si>
  <si>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</si>
  <si>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</si>
  <si>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</si>
  <si>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</si>
  <si>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</si>
  <si>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</si>
  <si>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</si>
  <si>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</si>
  <si>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</si>
  <si>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</si>
  <si>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</si>
  <si>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</si>
  <si>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</si>
  <si>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</si>
  <si>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</si>
  <si>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</si>
  <si>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</si>
  <si>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</si>
  <si>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</si>
  <si>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</si>
  <si>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</si>
  <si>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</si>
  <si>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</si>
  <si>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</si>
  <si>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</si>
  <si>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</si>
  <si>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</si>
  <si>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</si>
  <si>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</si>
  <si>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</si>
  <si>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</si>
  <si>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</si>
  <si>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</si>
  <si>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</si>
  <si>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</si>
  <si>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</si>
  <si>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</si>
  <si>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</si>
  <si>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</si>
  <si>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</si>
  <si>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</si>
  <si>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</si>
  <si>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</si>
  <si>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</si>
  <si>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</si>
  <si>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</si>
  <si>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</si>
  <si>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</si>
  <si>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</si>
  <si>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</si>
  <si>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</si>
  <si>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</si>
  <si>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</si>
  <si>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</si>
  <si>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</si>
  <si>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</si>
  <si>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</si>
  <si>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</si>
  <si>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</si>
  <si>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</si>
  <si>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</si>
  <si>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</si>
  <si>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</si>
  <si>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</si>
  <si>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</si>
  <si>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</si>
  <si>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</si>
  <si>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</si>
  <si>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</si>
  <si>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</si>
  <si>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</si>
  <si>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</si>
  <si>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</si>
  <si>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</si>
  <si>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</si>
  <si>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</si>
  <si>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</si>
  <si>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</si>
  <si>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</si>
  <si>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</si>
  <si>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</si>
  <si>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</si>
  <si>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</si>
  <si>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</si>
  <si>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</si>
  <si>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</si>
  <si>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</si>
  <si>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</si>
  <si>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</si>
  <si>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</si>
  <si>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</si>
  <si>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</si>
  <si>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</si>
  <si>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</si>
  <si>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</si>
  <si>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</si>
  <si>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</si>
  <si>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</si>
  <si>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</si>
  <si>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</si>
  <si>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</si>
  <si>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</si>
  <si>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</si>
  <si>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</si>
  <si>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</si>
  <si>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</si>
  <si>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</si>
  <si>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</si>
  <si>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</si>
  <si>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</si>
  <si>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</si>
  <si>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</si>
  <si>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</si>
  <si>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</si>
  <si>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</si>
  <si>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</si>
  <si>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</si>
  <si>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</si>
  <si>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</si>
  <si>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</si>
  <si>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</si>
  <si>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</si>
  <si>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</si>
  <si>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</si>
  <si>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</si>
  <si>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</si>
  <si>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</si>
  <si>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</si>
  <si>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</si>
  <si>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</si>
  <si>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</si>
  <si>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</si>
  <si>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</si>
  <si>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</si>
  <si>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</si>
  <si>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</si>
  <si>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</si>
  <si>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</si>
  <si>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</si>
  <si>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</si>
  <si>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</si>
  <si>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</si>
  <si>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</si>
  <si>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</si>
  <si>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</si>
  <si>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</si>
  <si>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</si>
  <si>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</si>
  <si>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</si>
  <si>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</si>
  <si>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</si>
  <si>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</si>
  <si>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</si>
  <si>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</si>
  <si>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</si>
  <si>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</si>
  <si>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</si>
  <si>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</si>
  <si>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</si>
  <si>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</si>
  <si>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</si>
  <si>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</si>
  <si>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</si>
  <si>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</si>
  <si>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</si>
  <si>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</si>
  <si>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</si>
  <si>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</si>
  <si>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</si>
  <si>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</si>
  <si>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</si>
  <si>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</si>
  <si>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</si>
  <si>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</si>
  <si>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</si>
  <si>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</si>
  <si>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</si>
  <si>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</si>
  <si>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</si>
  <si>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</si>
  <si>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</si>
  <si>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</si>
  <si>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</si>
  <si>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</si>
  <si>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</si>
  <si>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</si>
  <si>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</si>
  <si>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</si>
  <si>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</si>
  <si>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</si>
  <si>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</si>
  <si>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</si>
  <si>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</si>
  <si>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</si>
  <si>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</si>
  <si>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</si>
  <si>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</si>
  <si>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</si>
  <si>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</si>
  <si>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</si>
  <si>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</si>
  <si>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</si>
  <si>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</si>
  <si>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</si>
  <si>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</si>
  <si>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</si>
  <si>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</si>
  <si>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</si>
  <si>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</si>
  <si>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</si>
  <si>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</si>
  <si>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</si>
  <si>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</si>
  <si>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</si>
  <si>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</si>
  <si>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</si>
  <si>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</si>
  <si>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</si>
  <si>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</si>
  <si>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</si>
  <si>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</si>
  <si>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</si>
  <si>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</si>
  <si>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</si>
  <si>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</si>
  <si>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</si>
  <si>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</si>
  <si>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</si>
  <si>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</si>
  <si>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</si>
  <si>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</si>
  <si>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</si>
  <si>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</si>
  <si>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</si>
  <si>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</si>
  <si>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</si>
  <si>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</si>
  <si>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</si>
  <si>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</si>
  <si>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</si>
  <si>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</si>
  <si>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</si>
  <si>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</si>
  <si>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</si>
  <si>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</si>
  <si>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</si>
  <si>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</si>
  <si>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</si>
  <si>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</si>
  <si>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</si>
  <si>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</si>
  <si>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</si>
  <si>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</si>
  <si>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</si>
  <si>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</si>
  <si>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</si>
  <si>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</si>
  <si>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</si>
  <si>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</si>
  <si>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</si>
  <si>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</si>
  <si>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</si>
  <si>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</si>
  <si>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</si>
  <si>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</si>
  <si>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</si>
  <si>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</si>
  <si>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</si>
  <si>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</si>
  <si>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</si>
  <si>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</si>
  <si>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</si>
  <si>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</si>
  <si>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</si>
  <si>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</si>
  <si>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</si>
  <si>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</si>
  <si>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</si>
  <si>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</si>
  <si>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</si>
  <si>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</si>
  <si>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</si>
  <si>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</si>
  <si>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</si>
  <si>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</si>
  <si>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</si>
  <si>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</si>
  <si>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</si>
  <si>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</si>
  <si>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</si>
  <si>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</si>
  <si>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</si>
  <si>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</si>
  <si>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</si>
  <si>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</si>
  <si>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</si>
  <si>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</si>
  <si>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</si>
  <si>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</si>
  <si>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</si>
  <si>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</si>
  <si>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</si>
  <si>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</si>
  <si>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</si>
  <si>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</si>
  <si>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</si>
  <si>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</si>
  <si>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</si>
  <si>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</si>
  <si>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</si>
  <si>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</si>
  <si>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</si>
  <si>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</si>
  <si>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</si>
  <si>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</si>
  <si>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</si>
  <si>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</si>
  <si>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</si>
  <si>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</si>
  <si>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</si>
  <si>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</si>
  <si>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</si>
  <si>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</si>
  <si>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</si>
  <si>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</si>
  <si>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</si>
  <si>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</si>
  <si>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</si>
  <si>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</si>
  <si>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</si>
  <si>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</si>
  <si>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</si>
  <si>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</si>
  <si>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</si>
  <si>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</si>
  <si>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</si>
  <si>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</si>
  <si>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</si>
  <si>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</si>
  <si>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</si>
  <si>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</si>
  <si>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</si>
  <si>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</si>
  <si>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</si>
  <si>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</si>
  <si>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</si>
  <si>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</si>
  <si>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</si>
  <si>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</si>
  <si>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</si>
  <si>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</si>
  <si>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</si>
  <si>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</si>
  <si>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</si>
  <si>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</si>
  <si>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</si>
  <si>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</si>
  <si>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</si>
  <si>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</si>
  <si>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</si>
  <si>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</si>
  <si>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</si>
  <si>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</si>
  <si>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</si>
  <si>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</si>
  <si>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</si>
  <si>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</si>
  <si>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</si>
  <si>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</si>
  <si>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</si>
  <si>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</si>
  <si>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</si>
  <si>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</si>
  <si>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</si>
  <si>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</si>
  <si>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</si>
  <si>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</si>
  <si>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</si>
  <si>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</si>
  <si>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</si>
  <si>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</si>
  <si>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</si>
  <si>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</si>
  <si>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</si>
  <si>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</si>
  <si>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</si>
  <si>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</si>
  <si>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</si>
  <si>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</si>
  <si>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</si>
  <si>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</si>
  <si>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</si>
  <si>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</si>
  <si>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</si>
  <si>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</si>
  <si>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</si>
  <si>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</si>
  <si>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</si>
  <si>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</si>
  <si>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</si>
  <si>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</si>
  <si>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</si>
  <si>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</si>
  <si>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</si>
  <si>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</si>
  <si>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</si>
  <si>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</si>
  <si>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</si>
  <si>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</si>
  <si>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</si>
  <si>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</si>
  <si>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</si>
  <si>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</si>
  <si>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</si>
  <si>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</si>
  <si>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</si>
  <si>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</si>
  <si>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</si>
  <si>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</si>
  <si>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</si>
  <si>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</si>
  <si>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</si>
  <si>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</si>
  <si>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</si>
  <si>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</si>
  <si>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</si>
  <si>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</si>
  <si>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</si>
  <si>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</si>
  <si>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</si>
  <si>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</si>
  <si>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</si>
  <si>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</si>
  <si>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</si>
  <si>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</si>
  <si>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</si>
  <si>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</si>
  <si>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</si>
  <si>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</si>
  <si>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</si>
  <si>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</si>
  <si>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</si>
  <si>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</si>
  <si>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</si>
  <si>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</si>
  <si>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</si>
  <si>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</si>
  <si>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</si>
  <si>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</si>
  <si>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</si>
  <si>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</si>
  <si>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</si>
  <si>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</si>
  <si>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</si>
  <si>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</si>
  <si>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</si>
  <si>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</si>
  <si>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</si>
  <si>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</si>
  <si>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</si>
  <si>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</si>
  <si>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</si>
  <si>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</si>
  <si>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</si>
  <si>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</si>
  <si>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</si>
  <si>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</si>
  <si>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</si>
  <si>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</si>
  <si>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</si>
  <si>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</si>
  <si>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</si>
  <si>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</si>
  <si>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</si>
  <si>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</si>
  <si>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</si>
  <si>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</si>
  <si>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</si>
  <si>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</si>
  <si>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</si>
  <si>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</si>
  <si>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</si>
  <si>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</si>
  <si>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</si>
  <si>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</si>
  <si>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</si>
  <si>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</si>
  <si>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</si>
  <si>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</si>
  <si>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</si>
  <si>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</si>
  <si>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</si>
  <si>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</si>
  <si>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</si>
  <si>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</si>
  <si>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</si>
  <si>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</si>
  <si>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</si>
  <si>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</si>
  <si>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</si>
  <si>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</si>
  <si>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</si>
  <si>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</si>
  <si>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</si>
  <si>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</si>
  <si>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</si>
  <si>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</si>
  <si>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</si>
  <si>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</si>
  <si>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</si>
  <si>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</si>
  <si>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</si>
  <si>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</si>
  <si>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</si>
  <si>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</si>
  <si>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</si>
  <si>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</si>
  <si>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</si>
  <si>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</si>
  <si>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</si>
  <si>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</si>
  <si>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</si>
  <si>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</si>
  <si>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</si>
  <si>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</si>
  <si>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</si>
  <si>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</si>
  <si>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</si>
  <si>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</si>
  <si>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</si>
  <si>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</si>
  <si>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</si>
  <si>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</si>
  <si>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</si>
  <si>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</si>
  <si>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</si>
  <si>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</si>
  <si>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</si>
  <si>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</si>
  <si>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</si>
  <si>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</si>
  <si>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</si>
  <si>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</si>
  <si>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</si>
  <si>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</si>
  <si>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</si>
  <si>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</si>
  <si>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</si>
  <si>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</si>
  <si>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</si>
  <si>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</si>
  <si>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</si>
  <si>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</si>
  <si>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</si>
  <si>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postalCode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</si>
  <si>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</si>
  <si>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</si>
  <si>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</si>
  <si>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</si>
  <si>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</si>
  <si>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</si>
  <si>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</si>
  <si>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</si>
  <si>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</si>
  <si>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</si>
  <si>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</si>
  <si>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jurisdictionId</t>
  </si>
  <si>
    <t>endDate</t>
  </si>
  <si>
    <t>!id</t>
  </si>
  <si>
    <t>!Jurisdication</t>
  </si>
  <si>
    <t>VOType</t>
  </si>
  <si>
    <t>displayOrder</t>
  </si>
  <si>
    <t>unitNumber</t>
  </si>
  <si>
    <t>streetAddress</t>
  </si>
  <si>
    <t>municipality</t>
  </si>
  <si>
    <t>latLong</t>
  </si>
  <si>
    <t>claimJSON</t>
  </si>
  <si>
    <t>inactiveClaimReasonId</t>
  </si>
  <si>
    <t>base64Logo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</si>
  <si>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</si>
  <si>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</si>
  <si>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</si>
  <si>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</si>
  <si>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</si>
  <si>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</si>
  <si>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</si>
  <si>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</si>
  <si>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</si>
  <si>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</si>
  <si>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</si>
  <si>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</si>
  <si>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</si>
  <si>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</si>
  <si>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</si>
  <si>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</si>
  <si>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</si>
  <si>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</si>
  <si>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Headquarters</t>
  </si>
  <si>
    <t>VLT</t>
  </si>
  <si>
    <t>BC Registry</t>
  </si>
  <si>
    <t>CT</t>
  </si>
  <si>
    <t>!Issuer</t>
  </si>
  <si>
    <t>Verified Organization</t>
  </si>
  <si>
    <t>https://registries.bc.gov.ca/verifiedOrganization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</si>
  <si>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</si>
  <si>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</si>
  <si>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</si>
  <si>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</si>
  <si>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</si>
  <si>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</si>
  <si>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</si>
  <si>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</si>
  <si>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</si>
  <si>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</si>
  <si>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</si>
  <si>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</si>
  <si>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</si>
  <si>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</si>
  <si>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</si>
  <si>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</si>
  <si>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</si>
  <si>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</si>
  <si>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</si>
  <si>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</si>
  <si>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</si>
  <si>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</si>
  <si>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</si>
  <si>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</si>
  <si>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</si>
  <si>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</si>
  <si>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orgTypeId</t>
  </si>
  <si>
    <t>userId</t>
  </si>
  <si>
    <t>guid</t>
  </si>
  <si>
    <t>authorizationDirectory</t>
  </si>
  <si>
    <t>IDIR</t>
  </si>
  <si>
    <t>roleId</t>
  </si>
  <si>
    <t>!Jurisdiction</t>
  </si>
  <si>
    <t>abbrv</t>
  </si>
  <si>
    <t>addressee</t>
  </si>
  <si>
    <t>addlDeliveryInfo</t>
  </si>
  <si>
    <t>permissionId</t>
  </si>
  <si>
    <t>!verifiedOrgId</t>
  </si>
  <si>
    <t>orgId</t>
  </si>
  <si>
    <t>legalName</t>
  </si>
  <si>
    <t>orgType</t>
  </si>
  <si>
    <t>verifiableOrgId</t>
  </si>
  <si>
    <t>!DBA</t>
  </si>
  <si>
    <t>doingBusinessAsId</t>
  </si>
  <si>
    <t>locType</t>
  </si>
  <si>
    <t>dbaName</t>
  </si>
  <si>
    <t>claimType</t>
  </si>
  <si>
    <t>!inactiveReason</t>
  </si>
  <si>
    <t>issuerServiceId</t>
  </si>
  <si>
    <t>locationTypeId</t>
  </si>
  <si>
    <t>locationId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</si>
</sst>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2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registries.bc.gov.ca/verifiedOrganization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10.bin"/><Relationship Id="rId4" Type="http://schemas.openxmlformats.org/officeDocument/2006/relationships/hyperlink" Target="https://foodsafebc.gov.bc.ca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26"/>
  <sheetViews>
    <sheetView tabSelected="1" workbookViewId="0">
      <pane ySplit="1" topLeftCell="A2" activePane="bottomLeft" state="frozen"/>
      <selection pane="bottomLeft"/>
    </sheetView>
  </sheetViews>
  <sheetFormatPr defaultColWidth="8.88671875" defaultRowHeight="14.4" x14ac:dyDescent="0.3"/>
  <cols>
    <col min="1" max="1" width="3.6640625" style="7" bestFit="1" customWidth="1"/>
    <col min="2" max="2" width="3" style="7" bestFit="1" customWidth="1"/>
    <col min="3" max="3" width="13.5546875" style="7" bestFit="1" customWidth="1"/>
    <col min="4" max="4" width="9.5546875" style="7" bestFit="1" customWidth="1"/>
    <col min="5" max="5" width="12.109375" style="7" bestFit="1" customWidth="1"/>
    <col min="6" max="6" width="12" style="7" bestFit="1" customWidth="1"/>
    <col min="7" max="7" width="22.44140625" style="7" bestFit="1" customWidth="1"/>
    <col min="8" max="8" width="12.33203125" style="7" bestFit="1" customWidth="1"/>
    <col min="9" max="9" width="8.109375" style="7" bestFit="1" customWidth="1"/>
    <col min="10" max="10" width="3.33203125" style="7" bestFit="1" customWidth="1"/>
    <col min="11" max="16384" width="8.88671875" style="7"/>
  </cols>
  <sheetData>
    <row r="1" spans="1:10" s="6" customFormat="1" x14ac:dyDescent="0.3">
      <c r="A1" s="6" t="s">
        <v>11</v>
      </c>
      <c r="B1" s="6" t="s">
        <v>2409</v>
      </c>
      <c r="C1" s="2" t="s">
        <v>2499</v>
      </c>
      <c r="D1" s="6" t="s">
        <v>2487</v>
      </c>
      <c r="E1" s="6" t="s">
        <v>2426</v>
      </c>
      <c r="F1" s="6" t="s">
        <v>2423</v>
      </c>
      <c r="G1" s="2" t="s">
        <v>2500</v>
      </c>
      <c r="H1" s="6" t="s">
        <v>2398</v>
      </c>
      <c r="I1" s="6" t="s">
        <v>2424</v>
      </c>
      <c r="J1" s="6" t="s">
        <v>2425</v>
      </c>
    </row>
    <row r="2" spans="1:10" x14ac:dyDescent="0.3">
      <c r="A2" s="7" t="str">
        <f ca="1">IF(G2="-","-","VO")</f>
        <v>VO</v>
      </c>
      <c r="B2" s="7">
        <f>IF(ISNUMBER(B1),B1+1,1)</f>
        <v>1</v>
      </c>
      <c r="C2" s="7">
        <f ca="1">RANDBETWEEN(10000000,99999999)</f>
        <v>13833166</v>
      </c>
      <c r="D2" s="7">
        <f ca="1">IF(RANDBETWEEN(1,4)&gt;2,1,RANDBETWEEN(2,4))</f>
        <v>1</v>
      </c>
      <c r="E2" s="7" t="s">
        <v>68</v>
      </c>
      <c r="F2" s="7">
        <f>VLOOKUP(E2,Jurisdiction.csv!C:I,7,FALSE)</f>
        <v>1</v>
      </c>
      <c r="G2" s="7" t="str">
        <f ca="1">IFERROR(VLOOKUP(B2,Location.csv!C:E,3,FALSE),"-")</f>
        <v>The Original House of Pies</v>
      </c>
      <c r="H2" s="7" t="str">
        <f>"'"&amp;TEXT("10-Oct-2010","YYYY-MM-DD")</f>
        <v>'2010-10-10</v>
      </c>
      <c r="I2" s="7" t="s">
        <v>13</v>
      </c>
      <c r="J2" s="7">
        <f>B2</f>
        <v>1</v>
      </c>
    </row>
    <row r="3" spans="1:10" x14ac:dyDescent="0.3">
      <c r="A3" s="7" t="str">
        <f t="shared" ref="A3:A26" ca="1" si="0">IF(G3="-","-","VO")</f>
        <v>VO</v>
      </c>
      <c r="B3" s="7">
        <f t="shared" ref="B3:B26" si="1">IF(ISNUMBER(B2),B2+1,1)</f>
        <v>2</v>
      </c>
      <c r="C3" s="7">
        <f t="shared" ref="C3:C26" ca="1" si="2">RANDBETWEEN(10000000,99999999)</f>
        <v>15552356</v>
      </c>
      <c r="D3" s="7">
        <f t="shared" ref="D3:D26" ca="1" si="3">IF(RANDBETWEEN(1,4)&gt;2,1,RANDBETWEEN(2,4))</f>
        <v>4</v>
      </c>
      <c r="E3" s="7" t="s">
        <v>68</v>
      </c>
      <c r="F3" s="7">
        <f>VLOOKUP(E3,Jurisdiction.csv!C:I,7,FALSE)</f>
        <v>1</v>
      </c>
      <c r="G3" s="7" t="str">
        <f ca="1">IFERROR(VLOOKUP(B3,Location.csv!C:E,3,FALSE),"-")</f>
        <v>Asian Junction</v>
      </c>
      <c r="H3" s="7" t="str">
        <f t="shared" ref="H3:H26" si="4">"'"&amp;TEXT("10-Oct-2010","YYYY-MM-DD")</f>
        <v>'2010-10-10</v>
      </c>
      <c r="I3" s="7" t="s">
        <v>13</v>
      </c>
      <c r="J3" s="7">
        <f t="shared" ref="J3:J26" si="5">B3</f>
        <v>2</v>
      </c>
    </row>
    <row r="4" spans="1:10" x14ac:dyDescent="0.3">
      <c r="A4" s="7" t="str">
        <f t="shared" ca="1" si="0"/>
        <v>VO</v>
      </c>
      <c r="B4" s="7">
        <f t="shared" si="1"/>
        <v>3</v>
      </c>
      <c r="C4" s="7">
        <f t="shared" ca="1" si="2"/>
        <v>31417126</v>
      </c>
      <c r="D4" s="7">
        <f t="shared" ca="1" si="3"/>
        <v>1</v>
      </c>
      <c r="E4" s="7" t="s">
        <v>68</v>
      </c>
      <c r="F4" s="7">
        <f>VLOOKUP(E4,Jurisdiction.csv!C:I,7,FALSE)</f>
        <v>1</v>
      </c>
      <c r="G4" s="7" t="str">
        <f ca="1">IFERROR(VLOOKUP(B4,Location.csv!C:E,3,FALSE),"-")</f>
        <v>Price Savers</v>
      </c>
      <c r="H4" s="7" t="str">
        <f t="shared" si="4"/>
        <v>'2010-10-10</v>
      </c>
      <c r="I4" s="7" t="s">
        <v>13</v>
      </c>
      <c r="J4" s="7">
        <f t="shared" si="5"/>
        <v>3</v>
      </c>
    </row>
    <row r="5" spans="1:10" x14ac:dyDescent="0.3">
      <c r="A5" s="7" t="str">
        <f t="shared" ca="1" si="0"/>
        <v>VO</v>
      </c>
      <c r="B5" s="7">
        <f t="shared" si="1"/>
        <v>4</v>
      </c>
      <c r="C5" s="7">
        <f t="shared" ca="1" si="2"/>
        <v>56412434</v>
      </c>
      <c r="D5" s="7">
        <f t="shared" ca="1" si="3"/>
        <v>3</v>
      </c>
      <c r="E5" s="7" t="s">
        <v>68</v>
      </c>
      <c r="F5" s="7">
        <f>VLOOKUP(E5,Jurisdiction.csv!C:I,7,FALSE)</f>
        <v>1</v>
      </c>
      <c r="G5" s="7" t="str">
        <f ca="1">IFERROR(VLOOKUP(B5,Location.csv!C:E,3,FALSE),"-")</f>
        <v>McDuff</v>
      </c>
      <c r="H5" s="7" t="str">
        <f t="shared" si="4"/>
        <v>'2010-10-10</v>
      </c>
      <c r="I5" s="7" t="s">
        <v>13</v>
      </c>
      <c r="J5" s="7">
        <f t="shared" si="5"/>
        <v>4</v>
      </c>
    </row>
    <row r="6" spans="1:10" x14ac:dyDescent="0.3">
      <c r="A6" s="7" t="str">
        <f t="shared" ca="1" si="0"/>
        <v>VO</v>
      </c>
      <c r="B6" s="7">
        <f t="shared" si="1"/>
        <v>5</v>
      </c>
      <c r="C6" s="7">
        <f t="shared" ca="1" si="2"/>
        <v>16236980</v>
      </c>
      <c r="D6" s="7">
        <f t="shared" ca="1" si="3"/>
        <v>1</v>
      </c>
      <c r="E6" s="7" t="s">
        <v>68</v>
      </c>
      <c r="F6" s="7">
        <f>VLOOKUP(E6,Jurisdiction.csv!C:I,7,FALSE)</f>
        <v>1</v>
      </c>
      <c r="G6" s="7" t="str">
        <f ca="1">IFERROR(VLOOKUP(B6,Location.csv!C:E,3,FALSE),"-")</f>
        <v>Muirhead's</v>
      </c>
      <c r="H6" s="7" t="str">
        <f t="shared" si="4"/>
        <v>'2010-10-10</v>
      </c>
      <c r="I6" s="7" t="s">
        <v>13</v>
      </c>
      <c r="J6" s="7">
        <f t="shared" si="5"/>
        <v>5</v>
      </c>
    </row>
    <row r="7" spans="1:10" x14ac:dyDescent="0.3">
      <c r="A7" s="7" t="str">
        <f t="shared" ca="1" si="0"/>
        <v>VO</v>
      </c>
      <c r="B7" s="7">
        <f t="shared" si="1"/>
        <v>6</v>
      </c>
      <c r="C7" s="7">
        <f t="shared" ca="1" si="2"/>
        <v>76646094</v>
      </c>
      <c r="D7" s="7">
        <f t="shared" ca="1" si="3"/>
        <v>1</v>
      </c>
      <c r="E7" s="7" t="s">
        <v>68</v>
      </c>
      <c r="F7" s="7">
        <f>VLOOKUP(E7,Jurisdiction.csv!C:I,7,FALSE)</f>
        <v>1</v>
      </c>
      <c r="G7" s="7" t="str">
        <f ca="1">IFERROR(VLOOKUP(B7,Location.csv!C:E,3,FALSE),"-")</f>
        <v>Jeans Unlimited</v>
      </c>
      <c r="H7" s="7" t="str">
        <f t="shared" si="4"/>
        <v>'2010-10-10</v>
      </c>
      <c r="I7" s="7" t="s">
        <v>13</v>
      </c>
      <c r="J7" s="7">
        <f t="shared" si="5"/>
        <v>6</v>
      </c>
    </row>
    <row r="8" spans="1:10" x14ac:dyDescent="0.3">
      <c r="A8" s="7" t="str">
        <f t="shared" ca="1" si="0"/>
        <v>VO</v>
      </c>
      <c r="B8" s="7">
        <f t="shared" si="1"/>
        <v>7</v>
      </c>
      <c r="C8" s="7">
        <f t="shared" ca="1" si="2"/>
        <v>24061207</v>
      </c>
      <c r="D8" s="7">
        <f t="shared" ca="1" si="3"/>
        <v>4</v>
      </c>
      <c r="E8" s="7" t="s">
        <v>68</v>
      </c>
      <c r="F8" s="7">
        <f>VLOOKUP(E8,Jurisdiction.csv!C:I,7,FALSE)</f>
        <v>1</v>
      </c>
      <c r="G8" s="7" t="str">
        <f ca="1">IFERROR(VLOOKUP(B8,Location.csv!C:E,3,FALSE),"-")</f>
        <v>Body Toning</v>
      </c>
      <c r="H8" s="7" t="str">
        <f t="shared" si="4"/>
        <v>'2010-10-10</v>
      </c>
      <c r="I8" s="7" t="s">
        <v>13</v>
      </c>
      <c r="J8" s="7">
        <f t="shared" si="5"/>
        <v>7</v>
      </c>
    </row>
    <row r="9" spans="1:10" x14ac:dyDescent="0.3">
      <c r="A9" s="7" t="str">
        <f t="shared" ca="1" si="0"/>
        <v>VO</v>
      </c>
      <c r="B9" s="7">
        <f t="shared" si="1"/>
        <v>8</v>
      </c>
      <c r="C9" s="7">
        <f t="shared" ca="1" si="2"/>
        <v>66862353</v>
      </c>
      <c r="D9" s="7">
        <f t="shared" ca="1" si="3"/>
        <v>1</v>
      </c>
      <c r="E9" s="7" t="s">
        <v>68</v>
      </c>
      <c r="F9" s="7">
        <f>VLOOKUP(E9,Jurisdiction.csv!C:I,7,FALSE)</f>
        <v>1</v>
      </c>
      <c r="G9" s="7" t="str">
        <f ca="1">IFERROR(VLOOKUP(B9,Location.csv!C:E,3,FALSE),"-")</f>
        <v>Brendle's</v>
      </c>
      <c r="H9" s="7" t="str">
        <f t="shared" si="4"/>
        <v>'2010-10-10</v>
      </c>
      <c r="I9" s="7" t="s">
        <v>13</v>
      </c>
      <c r="J9" s="7">
        <f t="shared" si="5"/>
        <v>8</v>
      </c>
    </row>
    <row r="10" spans="1:10" x14ac:dyDescent="0.3">
      <c r="A10" s="7" t="str">
        <f t="shared" ca="1" si="0"/>
        <v>VO</v>
      </c>
      <c r="B10" s="7">
        <f t="shared" si="1"/>
        <v>9</v>
      </c>
      <c r="C10" s="7">
        <f t="shared" ca="1" si="2"/>
        <v>93142827</v>
      </c>
      <c r="D10" s="7">
        <f t="shared" ca="1" si="3"/>
        <v>1</v>
      </c>
      <c r="E10" s="7" t="s">
        <v>68</v>
      </c>
      <c r="F10" s="7">
        <f>VLOOKUP(E10,Jurisdiction.csv!C:I,7,FALSE)</f>
        <v>1</v>
      </c>
      <c r="G10" s="7" t="str">
        <f ca="1">IFERROR(VLOOKUP(B10,Location.csv!C:E,3,FALSE),"-")</f>
        <v>Harold's</v>
      </c>
      <c r="H10" s="7" t="str">
        <f t="shared" si="4"/>
        <v>'2010-10-10</v>
      </c>
      <c r="I10" s="7" t="s">
        <v>13</v>
      </c>
      <c r="J10" s="7">
        <f t="shared" si="5"/>
        <v>9</v>
      </c>
    </row>
    <row r="11" spans="1:10" x14ac:dyDescent="0.3">
      <c r="A11" s="7" t="str">
        <f t="shared" ca="1" si="0"/>
        <v>VO</v>
      </c>
      <c r="B11" s="7">
        <f t="shared" si="1"/>
        <v>10</v>
      </c>
      <c r="C11" s="7">
        <f t="shared" ca="1" si="2"/>
        <v>82783449</v>
      </c>
      <c r="D11" s="7">
        <f t="shared" ca="1" si="3"/>
        <v>3</v>
      </c>
      <c r="E11" s="7" t="s">
        <v>68</v>
      </c>
      <c r="F11" s="7">
        <f>VLOOKUP(E11,Jurisdiction.csv!C:I,7,FALSE)</f>
        <v>1</v>
      </c>
      <c r="G11" s="7" t="str">
        <f ca="1">IFERROR(VLOOKUP(B11,Location.csv!C:E,3,FALSE),"-")</f>
        <v>Grass Roots Yard Services</v>
      </c>
      <c r="H11" s="7" t="str">
        <f t="shared" si="4"/>
        <v>'2010-10-10</v>
      </c>
      <c r="I11" s="7" t="s">
        <v>13</v>
      </c>
      <c r="J11" s="7">
        <f t="shared" si="5"/>
        <v>10</v>
      </c>
    </row>
    <row r="12" spans="1:10" x14ac:dyDescent="0.3">
      <c r="A12" s="7" t="str">
        <f t="shared" ca="1" si="0"/>
        <v>VO</v>
      </c>
      <c r="B12" s="7">
        <f t="shared" si="1"/>
        <v>11</v>
      </c>
      <c r="C12" s="7">
        <f t="shared" ca="1" si="2"/>
        <v>96312947</v>
      </c>
      <c r="D12" s="7">
        <f t="shared" ca="1" si="3"/>
        <v>4</v>
      </c>
      <c r="E12" s="7" t="s">
        <v>68</v>
      </c>
      <c r="F12" s="7">
        <f>VLOOKUP(E12,Jurisdiction.csv!C:I,7,FALSE)</f>
        <v>1</v>
      </c>
      <c r="G12" s="7" t="str">
        <f ca="1">IFERROR(VLOOKUP(B12,Location.csv!C:E,3,FALSE),"-")</f>
        <v>Pantry Pride</v>
      </c>
      <c r="H12" s="7" t="str">
        <f t="shared" si="4"/>
        <v>'2010-10-10</v>
      </c>
      <c r="I12" s="7" t="s">
        <v>13</v>
      </c>
      <c r="J12" s="7">
        <f t="shared" si="5"/>
        <v>11</v>
      </c>
    </row>
    <row r="13" spans="1:10" x14ac:dyDescent="0.3">
      <c r="A13" s="7" t="str">
        <f t="shared" ca="1" si="0"/>
        <v>VO</v>
      </c>
      <c r="B13" s="7">
        <f t="shared" si="1"/>
        <v>12</v>
      </c>
      <c r="C13" s="7">
        <f t="shared" ca="1" si="2"/>
        <v>32983609</v>
      </c>
      <c r="D13" s="7">
        <f t="shared" ca="1" si="3"/>
        <v>1</v>
      </c>
      <c r="E13" s="7" t="s">
        <v>68</v>
      </c>
      <c r="F13" s="7">
        <f>VLOOKUP(E13,Jurisdiction.csv!C:I,7,FALSE)</f>
        <v>1</v>
      </c>
      <c r="G13" s="7" t="str">
        <f ca="1">IFERROR(VLOOKUP(B13,Location.csv!C:E,3,FALSE),"-")</f>
        <v>Success Is Yours</v>
      </c>
      <c r="H13" s="7" t="str">
        <f t="shared" si="4"/>
        <v>'2010-10-10</v>
      </c>
      <c r="I13" s="7" t="s">
        <v>13</v>
      </c>
      <c r="J13" s="7">
        <f t="shared" si="5"/>
        <v>12</v>
      </c>
    </row>
    <row r="14" spans="1:10" x14ac:dyDescent="0.3">
      <c r="A14" s="7" t="str">
        <f t="shared" ca="1" si="0"/>
        <v>VO</v>
      </c>
      <c r="B14" s="7">
        <f t="shared" si="1"/>
        <v>13</v>
      </c>
      <c r="C14" s="7">
        <f t="shared" ca="1" si="2"/>
        <v>58573732</v>
      </c>
      <c r="D14" s="7">
        <f t="shared" ca="1" si="3"/>
        <v>1</v>
      </c>
      <c r="E14" s="7" t="s">
        <v>68</v>
      </c>
      <c r="F14" s="7">
        <f>VLOOKUP(E14,Jurisdiction.csv!C:I,7,FALSE)</f>
        <v>1</v>
      </c>
      <c r="G14" s="7" t="str">
        <f ca="1">IFERROR(VLOOKUP(B14,Location.csv!C:E,3,FALSE),"-")</f>
        <v>Stratacard</v>
      </c>
      <c r="H14" s="7" t="str">
        <f t="shared" si="4"/>
        <v>'2010-10-10</v>
      </c>
      <c r="I14" s="7" t="s">
        <v>13</v>
      </c>
      <c r="J14" s="7">
        <f t="shared" si="5"/>
        <v>13</v>
      </c>
    </row>
    <row r="15" spans="1:10" x14ac:dyDescent="0.3">
      <c r="A15" s="7" t="str">
        <f t="shared" ca="1" si="0"/>
        <v>-</v>
      </c>
      <c r="B15" s="7">
        <f t="shared" si="1"/>
        <v>14</v>
      </c>
      <c r="C15" s="7">
        <f t="shared" ca="1" si="2"/>
        <v>98258946</v>
      </c>
      <c r="D15" s="7">
        <f t="shared" ca="1" si="3"/>
        <v>3</v>
      </c>
      <c r="E15" s="7" t="s">
        <v>68</v>
      </c>
      <c r="F15" s="7">
        <f>VLOOKUP(E15,Jurisdiction.csv!C:I,7,FALSE)</f>
        <v>1</v>
      </c>
      <c r="G15" s="7" t="str">
        <f ca="1">IFERROR(VLOOKUP(B15,Location.csv!C:E,3,FALSE),"-")</f>
        <v>-</v>
      </c>
      <c r="H15" s="7" t="str">
        <f t="shared" si="4"/>
        <v>'2010-10-10</v>
      </c>
      <c r="I15" s="7" t="s">
        <v>13</v>
      </c>
      <c r="J15" s="7">
        <f t="shared" si="5"/>
        <v>14</v>
      </c>
    </row>
    <row r="16" spans="1:10" x14ac:dyDescent="0.3">
      <c r="A16" s="7" t="str">
        <f t="shared" ca="1" si="0"/>
        <v>-</v>
      </c>
      <c r="B16" s="7">
        <f t="shared" si="1"/>
        <v>15</v>
      </c>
      <c r="C16" s="7">
        <f t="shared" ca="1" si="2"/>
        <v>72329597</v>
      </c>
      <c r="D16" s="7">
        <f t="shared" ca="1" si="3"/>
        <v>1</v>
      </c>
      <c r="E16" s="7" t="s">
        <v>68</v>
      </c>
      <c r="F16" s="7">
        <f>VLOOKUP(E16,Jurisdiction.csv!C:I,7,FALSE)</f>
        <v>1</v>
      </c>
      <c r="G16" s="7" t="str">
        <f ca="1">IFERROR(VLOOKUP(B16,Location.csv!C:E,3,FALSE),"-")</f>
        <v>-</v>
      </c>
      <c r="H16" s="7" t="str">
        <f t="shared" si="4"/>
        <v>'2010-10-10</v>
      </c>
      <c r="I16" s="7" t="s">
        <v>13</v>
      </c>
      <c r="J16" s="7">
        <f t="shared" si="5"/>
        <v>15</v>
      </c>
    </row>
    <row r="17" spans="1:10" x14ac:dyDescent="0.3">
      <c r="A17" s="7" t="str">
        <f t="shared" ca="1" si="0"/>
        <v>-</v>
      </c>
      <c r="B17" s="7">
        <f t="shared" si="1"/>
        <v>16</v>
      </c>
      <c r="C17" s="7">
        <f t="shared" ca="1" si="2"/>
        <v>98455117</v>
      </c>
      <c r="D17" s="7">
        <f t="shared" ca="1" si="3"/>
        <v>1</v>
      </c>
      <c r="E17" s="7" t="s">
        <v>68</v>
      </c>
      <c r="F17" s="7">
        <f>VLOOKUP(E17,Jurisdiction.csv!C:I,7,FALSE)</f>
        <v>1</v>
      </c>
      <c r="G17" s="7" t="str">
        <f ca="1">IFERROR(VLOOKUP(B17,Location.csv!C:E,3,FALSE),"-")</f>
        <v>-</v>
      </c>
      <c r="H17" s="7" t="str">
        <f t="shared" si="4"/>
        <v>'2010-10-10</v>
      </c>
      <c r="I17" s="7" t="s">
        <v>13</v>
      </c>
      <c r="J17" s="7">
        <f t="shared" si="5"/>
        <v>16</v>
      </c>
    </row>
    <row r="18" spans="1:10" x14ac:dyDescent="0.3">
      <c r="A18" s="7" t="str">
        <f t="shared" ca="1" si="0"/>
        <v>-</v>
      </c>
      <c r="B18" s="7">
        <f t="shared" si="1"/>
        <v>17</v>
      </c>
      <c r="C18" s="7">
        <f t="shared" ca="1" si="2"/>
        <v>66366748</v>
      </c>
      <c r="D18" s="7">
        <f t="shared" ca="1" si="3"/>
        <v>1</v>
      </c>
      <c r="E18" s="7" t="s">
        <v>68</v>
      </c>
      <c r="F18" s="7">
        <f>VLOOKUP(E18,Jurisdiction.csv!C:I,7,FALSE)</f>
        <v>1</v>
      </c>
      <c r="G18" s="7" t="str">
        <f ca="1">IFERROR(VLOOKUP(B18,Location.csv!C:E,3,FALSE),"-")</f>
        <v>-</v>
      </c>
      <c r="H18" s="7" t="str">
        <f t="shared" si="4"/>
        <v>'2010-10-10</v>
      </c>
      <c r="I18" s="7" t="s">
        <v>13</v>
      </c>
      <c r="J18" s="7">
        <f t="shared" si="5"/>
        <v>17</v>
      </c>
    </row>
    <row r="19" spans="1:10" x14ac:dyDescent="0.3">
      <c r="A19" s="7" t="str">
        <f t="shared" ca="1" si="0"/>
        <v>-</v>
      </c>
      <c r="B19" s="7">
        <f t="shared" si="1"/>
        <v>18</v>
      </c>
      <c r="C19" s="7">
        <f t="shared" ca="1" si="2"/>
        <v>60433180</v>
      </c>
      <c r="D19" s="7">
        <f t="shared" ca="1" si="3"/>
        <v>1</v>
      </c>
      <c r="E19" s="7" t="s">
        <v>68</v>
      </c>
      <c r="F19" s="7">
        <f>VLOOKUP(E19,Jurisdiction.csv!C:I,7,FALSE)</f>
        <v>1</v>
      </c>
      <c r="G19" s="7" t="str">
        <f ca="1">IFERROR(VLOOKUP(B19,Location.csv!C:E,3,FALSE),"-")</f>
        <v>-</v>
      </c>
      <c r="H19" s="7" t="str">
        <f t="shared" si="4"/>
        <v>'2010-10-10</v>
      </c>
      <c r="I19" s="7" t="s">
        <v>13</v>
      </c>
      <c r="J19" s="7">
        <f t="shared" si="5"/>
        <v>18</v>
      </c>
    </row>
    <row r="20" spans="1:10" x14ac:dyDescent="0.3">
      <c r="A20" s="7" t="str">
        <f t="shared" ca="1" si="0"/>
        <v>-</v>
      </c>
      <c r="B20" s="7">
        <f t="shared" si="1"/>
        <v>19</v>
      </c>
      <c r="C20" s="7">
        <f t="shared" ca="1" si="2"/>
        <v>24199583</v>
      </c>
      <c r="D20" s="7">
        <f t="shared" ca="1" si="3"/>
        <v>1</v>
      </c>
      <c r="E20" s="7" t="s">
        <v>68</v>
      </c>
      <c r="F20" s="7">
        <f>VLOOKUP(E20,Jurisdiction.csv!C:I,7,FALSE)</f>
        <v>1</v>
      </c>
      <c r="G20" s="7" t="str">
        <f ca="1">IFERROR(VLOOKUP(B20,Location.csv!C:E,3,FALSE),"-")</f>
        <v>-</v>
      </c>
      <c r="H20" s="7" t="str">
        <f t="shared" si="4"/>
        <v>'2010-10-10</v>
      </c>
      <c r="I20" s="7" t="s">
        <v>13</v>
      </c>
      <c r="J20" s="7">
        <f t="shared" si="5"/>
        <v>19</v>
      </c>
    </row>
    <row r="21" spans="1:10" x14ac:dyDescent="0.3">
      <c r="A21" s="7" t="str">
        <f t="shared" ca="1" si="0"/>
        <v>-</v>
      </c>
      <c r="B21" s="7">
        <f t="shared" si="1"/>
        <v>20</v>
      </c>
      <c r="C21" s="7">
        <f t="shared" ca="1" si="2"/>
        <v>14163106</v>
      </c>
      <c r="D21" s="7">
        <f t="shared" ca="1" si="3"/>
        <v>4</v>
      </c>
      <c r="E21" s="7" t="s">
        <v>68</v>
      </c>
      <c r="F21" s="7">
        <f>VLOOKUP(E21,Jurisdiction.csv!C:I,7,FALSE)</f>
        <v>1</v>
      </c>
      <c r="G21" s="7" t="str">
        <f ca="1">IFERROR(VLOOKUP(B21,Location.csv!C:E,3,FALSE),"-")</f>
        <v>-</v>
      </c>
      <c r="H21" s="7" t="str">
        <f t="shared" si="4"/>
        <v>'2010-10-10</v>
      </c>
      <c r="I21" s="7" t="s">
        <v>13</v>
      </c>
      <c r="J21" s="7">
        <f t="shared" si="5"/>
        <v>20</v>
      </c>
    </row>
    <row r="22" spans="1:10" x14ac:dyDescent="0.3">
      <c r="A22" s="7" t="str">
        <f t="shared" ca="1" si="0"/>
        <v>-</v>
      </c>
      <c r="B22" s="7">
        <f t="shared" si="1"/>
        <v>21</v>
      </c>
      <c r="C22" s="7">
        <f t="shared" ca="1" si="2"/>
        <v>96204759</v>
      </c>
      <c r="D22" s="7">
        <f t="shared" ca="1" si="3"/>
        <v>2</v>
      </c>
      <c r="E22" s="7" t="s">
        <v>68</v>
      </c>
      <c r="F22" s="7">
        <f>VLOOKUP(E22,Jurisdiction.csv!C:I,7,FALSE)</f>
        <v>1</v>
      </c>
      <c r="G22" s="7" t="str">
        <f ca="1">IFERROR(VLOOKUP(B22,Location.csv!C:E,3,FALSE),"-")</f>
        <v>-</v>
      </c>
      <c r="H22" s="7" t="str">
        <f t="shared" si="4"/>
        <v>'2010-10-10</v>
      </c>
      <c r="I22" s="7" t="s">
        <v>13</v>
      </c>
      <c r="J22" s="7">
        <f t="shared" si="5"/>
        <v>21</v>
      </c>
    </row>
    <row r="23" spans="1:10" x14ac:dyDescent="0.3">
      <c r="A23" s="7" t="str">
        <f t="shared" ca="1" si="0"/>
        <v>-</v>
      </c>
      <c r="B23" s="7">
        <f t="shared" si="1"/>
        <v>22</v>
      </c>
      <c r="C23" s="7">
        <f t="shared" ca="1" si="2"/>
        <v>71162049</v>
      </c>
      <c r="D23" s="7">
        <f t="shared" ca="1" si="3"/>
        <v>3</v>
      </c>
      <c r="E23" s="7" t="s">
        <v>68</v>
      </c>
      <c r="F23" s="7">
        <f>VLOOKUP(E23,Jurisdiction.csv!C:I,7,FALSE)</f>
        <v>1</v>
      </c>
      <c r="G23" s="7" t="str">
        <f ca="1">IFERROR(VLOOKUP(B23,Location.csv!C:E,3,FALSE),"-")</f>
        <v>-</v>
      </c>
      <c r="H23" s="7" t="str">
        <f t="shared" si="4"/>
        <v>'2010-10-10</v>
      </c>
      <c r="I23" s="7" t="s">
        <v>13</v>
      </c>
      <c r="J23" s="7">
        <f t="shared" si="5"/>
        <v>22</v>
      </c>
    </row>
    <row r="24" spans="1:10" x14ac:dyDescent="0.3">
      <c r="A24" s="7" t="str">
        <f t="shared" ca="1" si="0"/>
        <v>-</v>
      </c>
      <c r="B24" s="7">
        <f t="shared" si="1"/>
        <v>23</v>
      </c>
      <c r="C24" s="7">
        <f t="shared" ca="1" si="2"/>
        <v>15311038</v>
      </c>
      <c r="D24" s="7">
        <f t="shared" ca="1" si="3"/>
        <v>3</v>
      </c>
      <c r="E24" s="7" t="s">
        <v>68</v>
      </c>
      <c r="F24" s="7">
        <f>VLOOKUP(E24,Jurisdiction.csv!C:I,7,FALSE)</f>
        <v>1</v>
      </c>
      <c r="G24" s="7" t="str">
        <f ca="1">IFERROR(VLOOKUP(B24,Location.csv!C:E,3,FALSE),"-")</f>
        <v>-</v>
      </c>
      <c r="H24" s="7" t="str">
        <f t="shared" si="4"/>
        <v>'2010-10-10</v>
      </c>
      <c r="I24" s="7" t="s">
        <v>13</v>
      </c>
      <c r="J24" s="7">
        <f t="shared" si="5"/>
        <v>23</v>
      </c>
    </row>
    <row r="25" spans="1:10" x14ac:dyDescent="0.3">
      <c r="A25" s="7" t="str">
        <f t="shared" ca="1" si="0"/>
        <v>-</v>
      </c>
      <c r="B25" s="7">
        <f t="shared" si="1"/>
        <v>24</v>
      </c>
      <c r="C25" s="7">
        <f t="shared" ca="1" si="2"/>
        <v>83250460</v>
      </c>
      <c r="D25" s="7">
        <f t="shared" ca="1" si="3"/>
        <v>4</v>
      </c>
      <c r="E25" s="7" t="s">
        <v>68</v>
      </c>
      <c r="F25" s="7">
        <f>VLOOKUP(E25,Jurisdiction.csv!C:I,7,FALSE)</f>
        <v>1</v>
      </c>
      <c r="G25" s="7" t="str">
        <f ca="1">IFERROR(VLOOKUP(B25,Location.csv!C:E,3,FALSE),"-")</f>
        <v>-</v>
      </c>
      <c r="H25" s="7" t="str">
        <f t="shared" si="4"/>
        <v>'2010-10-10</v>
      </c>
      <c r="I25" s="7" t="s">
        <v>13</v>
      </c>
      <c r="J25" s="7">
        <f t="shared" si="5"/>
        <v>24</v>
      </c>
    </row>
    <row r="26" spans="1:10" x14ac:dyDescent="0.3">
      <c r="A26" s="7" t="str">
        <f t="shared" ca="1" si="0"/>
        <v>-</v>
      </c>
      <c r="B26" s="7">
        <f t="shared" si="1"/>
        <v>25</v>
      </c>
      <c r="C26" s="7">
        <f t="shared" ca="1" si="2"/>
        <v>57500233</v>
      </c>
      <c r="D26" s="7">
        <f t="shared" ca="1" si="3"/>
        <v>1</v>
      </c>
      <c r="E26" s="7" t="s">
        <v>68</v>
      </c>
      <c r="F26" s="7">
        <f>VLOOKUP(E26,Jurisdiction.csv!C:I,7,FALSE)</f>
        <v>1</v>
      </c>
      <c r="G26" s="7" t="str">
        <f ca="1">IFERROR(VLOOKUP(B26,Location.csv!C:E,3,FALSE),"-")</f>
        <v>-</v>
      </c>
      <c r="H26" s="7" t="str">
        <f t="shared" si="4"/>
        <v>'2010-10-10</v>
      </c>
      <c r="I26" s="7" t="s">
        <v>13</v>
      </c>
      <c r="J26" s="7">
        <f t="shared" si="5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5"/>
  <sheetViews>
    <sheetView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1" max="1" width="7.33203125" bestFit="1" customWidth="1"/>
    <col min="2" max="2" width="2.5546875" bestFit="1" customWidth="1"/>
    <col min="3" max="3" width="23.6640625" bestFit="1" customWidth="1"/>
    <col min="4" max="4" width="21.6640625" bestFit="1" customWidth="1"/>
    <col min="5" max="5" width="12.33203125" bestFit="1" customWidth="1"/>
    <col min="6" max="6" width="13.4414062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2501</v>
      </c>
      <c r="D1" s="2" t="s">
        <v>2400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2427</v>
      </c>
      <c r="B2">
        <f>IF(ISNUMBER(B1),B1+1,1)</f>
        <v>1</v>
      </c>
      <c r="C2" t="s">
        <v>2443</v>
      </c>
      <c r="D2" t="s">
        <v>2450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2427</v>
      </c>
      <c r="B3">
        <f t="shared" ref="B3:B5" si="0">IF(ISNUMBER(B2),B2+1,1)</f>
        <v>2</v>
      </c>
      <c r="C3" t="s">
        <v>2444</v>
      </c>
      <c r="D3" t="s">
        <v>2447</v>
      </c>
      <c r="E3" t="str">
        <f t="shared" ref="E3:E5" si="1">"'"&amp;TEXT("10-Oct-2010","YYYY-MM-DD")</f>
        <v>'2010-10-10</v>
      </c>
      <c r="F3" t="s">
        <v>13</v>
      </c>
      <c r="G3">
        <v>2</v>
      </c>
      <c r="H3">
        <f t="shared" ref="H3:H5" si="2">B3</f>
        <v>2</v>
      </c>
    </row>
    <row r="4" spans="1:8" x14ac:dyDescent="0.3">
      <c r="A4" t="s">
        <v>2427</v>
      </c>
      <c r="B4">
        <f t="shared" si="0"/>
        <v>3</v>
      </c>
      <c r="C4" t="s">
        <v>2445</v>
      </c>
      <c r="D4" t="s">
        <v>2448</v>
      </c>
      <c r="E4" t="str">
        <f t="shared" si="1"/>
        <v>'2010-10-10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2427</v>
      </c>
      <c r="B5">
        <f t="shared" si="0"/>
        <v>4</v>
      </c>
      <c r="C5" t="s">
        <v>2446</v>
      </c>
      <c r="D5" t="s">
        <v>2449</v>
      </c>
      <c r="E5" t="str">
        <f t="shared" si="1"/>
        <v>'2010-10-10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4.33203125" bestFit="1" customWidth="1"/>
    <col min="2" max="2" width="3" bestFit="1" customWidth="1"/>
    <col min="3" max="3" width="12.109375" bestFit="1" customWidth="1"/>
    <col min="4" max="4" width="15.6640625" bestFit="1" customWidth="1"/>
    <col min="5" max="5" width="22.44140625" bestFit="1" customWidth="1"/>
    <col min="6" max="6" width="15.33203125" bestFit="1" customWidth="1"/>
    <col min="7" max="7" width="11.33203125" bestFit="1" customWidth="1"/>
    <col min="8" max="8" width="21.6640625" bestFit="1" customWidth="1"/>
    <col min="9" max="9" width="18.109375" bestFit="1" customWidth="1"/>
    <col min="10" max="10" width="8.33203125" bestFit="1" customWidth="1"/>
    <col min="11" max="11" width="10.44140625" bestFit="1" customWidth="1"/>
    <col min="12" max="12" width="20.88671875" bestFit="1" customWidth="1"/>
    <col min="13" max="13" width="12.33203125" bestFit="1" customWidth="1"/>
    <col min="14" max="14" width="8.109375" bestFit="1" customWidth="1"/>
    <col min="15" max="15" width="3.33203125" bestFit="1" customWidth="1"/>
  </cols>
  <sheetData>
    <row r="1" spans="1:15" s="2" customFormat="1" x14ac:dyDescent="0.3">
      <c r="A1" s="2" t="s">
        <v>11</v>
      </c>
      <c r="B1" s="2" t="s">
        <v>2409</v>
      </c>
      <c r="C1" s="2" t="s">
        <v>2498</v>
      </c>
      <c r="D1" s="2" t="s">
        <v>2510</v>
      </c>
      <c r="E1" s="2" t="s">
        <v>2495</v>
      </c>
      <c r="F1" s="2" t="s">
        <v>2496</v>
      </c>
      <c r="G1" s="2" t="s">
        <v>2429</v>
      </c>
      <c r="H1" s="2" t="s">
        <v>2430</v>
      </c>
      <c r="I1" s="2" t="s">
        <v>2431</v>
      </c>
      <c r="J1" s="2" t="s">
        <v>2410</v>
      </c>
      <c r="K1" s="2" t="s">
        <v>2411</v>
      </c>
      <c r="L1" s="2" t="s">
        <v>2432</v>
      </c>
      <c r="M1" s="2" t="s">
        <v>2398</v>
      </c>
      <c r="N1" s="2" t="s">
        <v>2424</v>
      </c>
      <c r="O1" s="2" t="s">
        <v>2425</v>
      </c>
    </row>
    <row r="2" spans="1:15" x14ac:dyDescent="0.3">
      <c r="A2" t="s">
        <v>2451</v>
      </c>
      <c r="B2">
        <f>IF(ISNUMBER(B1),B1+1,1)</f>
        <v>1</v>
      </c>
      <c r="C2">
        <f ca="1">IF(ISNUMBER(C1),IF(RANDBETWEEN(1,5) &gt; 3,C1+1,C1),1)</f>
        <v>1</v>
      </c>
      <c r="D2">
        <f ca="1">RANDBETWEEN(1,MAX(LocationType.csv!B:B))</f>
        <v>1</v>
      </c>
      <c r="E2" t="str">
        <f>Names!AA2</f>
        <v>The Original House of Pies</v>
      </c>
      <c r="F2" t="s">
        <v>13</v>
      </c>
      <c r="G2" t="s">
        <v>13</v>
      </c>
      <c r="H2" t="str">
        <f>Names!G2</f>
        <v>2262 Burdett Avenue</v>
      </c>
      <c r="I2" t="str">
        <f>Names!H2</f>
        <v>Victoria</v>
      </c>
      <c r="J2" t="str">
        <f>Names!I2</f>
        <v>BC</v>
      </c>
      <c r="K2" t="str">
        <f>Names!J2</f>
        <v>V8Z 2J8</v>
      </c>
      <c r="L2" t="str">
        <f>Names!AJ2&amp;", "&amp;Names!AK2</f>
        <v>48.343285, -123.398304</v>
      </c>
      <c r="M2" t="str">
        <f>"'"&amp;TEXT("10-Oct-2010","YYYY-MM-DD")</f>
        <v>'2010-10-10</v>
      </c>
      <c r="N2" t="s">
        <v>13</v>
      </c>
      <c r="O2">
        <f>B2</f>
        <v>1</v>
      </c>
    </row>
    <row r="3" spans="1:15" x14ac:dyDescent="0.3">
      <c r="A3" t="s">
        <v>2451</v>
      </c>
      <c r="B3">
        <f t="shared" ref="B3:B33" si="0">IF(ISNUMBER(B2),B2+1,1)</f>
        <v>2</v>
      </c>
      <c r="C3">
        <f t="shared" ref="C3:C33" ca="1" si="1">IF(ISNUMBER(C2),IF(RANDBETWEEN(1,5) &gt; 3,C2+1,C2),1)</f>
        <v>2</v>
      </c>
      <c r="D3">
        <f ca="1">RANDBETWEEN(1,MAX(LocationType.csv!B:B))</f>
        <v>2</v>
      </c>
      <c r="E3" t="str">
        <f>Names!AA3</f>
        <v>Asian Junction</v>
      </c>
      <c r="F3" t="s">
        <v>13</v>
      </c>
      <c r="G3" t="s">
        <v>13</v>
      </c>
      <c r="H3" t="str">
        <f>Names!G3</f>
        <v>223 Brew Creek Rd</v>
      </c>
      <c r="I3" t="str">
        <f>Names!H3</f>
        <v>Whistler</v>
      </c>
      <c r="J3" t="str">
        <f>Names!I3</f>
        <v>BC</v>
      </c>
      <c r="K3" t="str">
        <f>Names!J3</f>
        <v>V0N 1B0</v>
      </c>
      <c r="L3" t="str">
        <f>Names!AJ3&amp;", "&amp;Names!AK3</f>
        <v>50.186096, -122.906844</v>
      </c>
      <c r="M3" t="str">
        <f t="shared" ref="M3:M33" si="2">"'"&amp;TEXT("10-Oct-2010","YYYY-MM-DD")</f>
        <v>'2010-10-10</v>
      </c>
      <c r="N3" t="s">
        <v>13</v>
      </c>
      <c r="O3">
        <f t="shared" ref="O3:O33" si="3">B3</f>
        <v>2</v>
      </c>
    </row>
    <row r="4" spans="1:15" x14ac:dyDescent="0.3">
      <c r="A4" t="s">
        <v>2451</v>
      </c>
      <c r="B4">
        <f t="shared" si="0"/>
        <v>3</v>
      </c>
      <c r="C4">
        <f t="shared" ca="1" si="1"/>
        <v>3</v>
      </c>
      <c r="D4">
        <f ca="1">RANDBETWEEN(1,MAX(LocationType.csv!B:B))</f>
        <v>1</v>
      </c>
      <c r="E4" t="str">
        <f>Names!AA4</f>
        <v>Price Savers</v>
      </c>
      <c r="F4" t="s">
        <v>13</v>
      </c>
      <c r="G4" t="s">
        <v>13</v>
      </c>
      <c r="H4" t="str">
        <f>Names!G4</f>
        <v>2310 Mesa Vista Drive</v>
      </c>
      <c r="I4" t="str">
        <f>Names!H4</f>
        <v>Boston Bar</v>
      </c>
      <c r="J4" t="str">
        <f>Names!I4</f>
        <v>BC</v>
      </c>
      <c r="K4" t="str">
        <f>Names!J4</f>
        <v>V0K 1C0</v>
      </c>
      <c r="L4" t="str">
        <f>Names!AJ4&amp;", "&amp;Names!AK4</f>
        <v>49.832747, -121.430223</v>
      </c>
      <c r="M4" t="str">
        <f t="shared" si="2"/>
        <v>'2010-10-10</v>
      </c>
      <c r="N4" t="s">
        <v>13</v>
      </c>
      <c r="O4">
        <f t="shared" si="3"/>
        <v>3</v>
      </c>
    </row>
    <row r="5" spans="1:15" x14ac:dyDescent="0.3">
      <c r="A5" t="s">
        <v>2451</v>
      </c>
      <c r="B5">
        <f t="shared" si="0"/>
        <v>4</v>
      </c>
      <c r="C5">
        <f t="shared" ca="1" si="1"/>
        <v>3</v>
      </c>
      <c r="D5">
        <f ca="1">RANDBETWEEN(1,MAX(LocationType.csv!B:B))</f>
        <v>1</v>
      </c>
      <c r="E5" t="str">
        <f>Names!AA5</f>
        <v>Best Products</v>
      </c>
      <c r="F5" t="s">
        <v>13</v>
      </c>
      <c r="G5" t="s">
        <v>13</v>
      </c>
      <c r="H5" t="str">
        <f>Names!G5</f>
        <v>3795 Burdett Avenue</v>
      </c>
      <c r="I5" t="str">
        <f>Names!H5</f>
        <v>Victoria</v>
      </c>
      <c r="J5" t="str">
        <f>Names!I5</f>
        <v>BC</v>
      </c>
      <c r="K5" t="str">
        <f>Names!J5</f>
        <v>V8Y 1Y7</v>
      </c>
      <c r="L5" t="str">
        <f>Names!AJ5&amp;", "&amp;Names!AK5</f>
        <v>48.349908, -123.43914</v>
      </c>
      <c r="M5" t="str">
        <f t="shared" si="2"/>
        <v>'2010-10-10</v>
      </c>
      <c r="N5" t="s">
        <v>13</v>
      </c>
      <c r="O5">
        <f t="shared" si="3"/>
        <v>4</v>
      </c>
    </row>
    <row r="6" spans="1:15" x14ac:dyDescent="0.3">
      <c r="A6" t="s">
        <v>2451</v>
      </c>
      <c r="B6">
        <f t="shared" si="0"/>
        <v>5</v>
      </c>
      <c r="C6">
        <f t="shared" ca="1" si="1"/>
        <v>4</v>
      </c>
      <c r="D6">
        <f ca="1">RANDBETWEEN(1,MAX(LocationType.csv!B:B))</f>
        <v>2</v>
      </c>
      <c r="E6" t="str">
        <f>Names!AA6</f>
        <v>McDuff</v>
      </c>
      <c r="F6" t="s">
        <v>13</v>
      </c>
      <c r="G6" t="s">
        <v>13</v>
      </c>
      <c r="H6" t="str">
        <f>Names!G6</f>
        <v>3746 Noble Rd</v>
      </c>
      <c r="I6" t="str">
        <f>Names!H6</f>
        <v>Cortes Island</v>
      </c>
      <c r="J6" t="str">
        <f>Names!I6</f>
        <v>BC</v>
      </c>
      <c r="K6" t="str">
        <f>Names!J6</f>
        <v>V0P 1T0</v>
      </c>
      <c r="L6" t="str">
        <f>Names!AJ6&amp;", "&amp;Names!AK6</f>
        <v>50.158668, -124.861885</v>
      </c>
      <c r="M6" t="str">
        <f t="shared" si="2"/>
        <v>'2010-10-10</v>
      </c>
      <c r="N6" t="s">
        <v>13</v>
      </c>
      <c r="O6">
        <f t="shared" si="3"/>
        <v>5</v>
      </c>
    </row>
    <row r="7" spans="1:15" x14ac:dyDescent="0.3">
      <c r="A7" t="s">
        <v>2451</v>
      </c>
      <c r="B7">
        <f t="shared" si="0"/>
        <v>6</v>
      </c>
      <c r="C7">
        <f t="shared" ca="1" si="1"/>
        <v>5</v>
      </c>
      <c r="D7">
        <f ca="1">RANDBETWEEN(1,MAX(LocationType.csv!B:B))</f>
        <v>1</v>
      </c>
      <c r="E7" t="str">
        <f>Names!AA7</f>
        <v>Muirhead's</v>
      </c>
      <c r="F7" t="s">
        <v>13</v>
      </c>
      <c r="G7" t="s">
        <v>13</v>
      </c>
      <c r="H7" t="str">
        <f>Names!G7</f>
        <v>3617 Essendene Avenue</v>
      </c>
      <c r="I7" t="str">
        <f>Names!H7</f>
        <v>Abbotsford</v>
      </c>
      <c r="J7" t="str">
        <f>Names!I7</f>
        <v>BC</v>
      </c>
      <c r="K7" t="str">
        <f>Names!J7</f>
        <v>V2S 2H7</v>
      </c>
      <c r="L7" t="str">
        <f>Names!AJ7&amp;", "&amp;Names!AK7</f>
        <v>49.149808, -122.388766</v>
      </c>
      <c r="M7" t="str">
        <f t="shared" si="2"/>
        <v>'2010-10-10</v>
      </c>
      <c r="N7" t="s">
        <v>13</v>
      </c>
      <c r="O7">
        <f t="shared" si="3"/>
        <v>6</v>
      </c>
    </row>
    <row r="8" spans="1:15" x14ac:dyDescent="0.3">
      <c r="A8" t="s">
        <v>2451</v>
      </c>
      <c r="B8">
        <f t="shared" si="0"/>
        <v>7</v>
      </c>
      <c r="C8">
        <f t="shared" ca="1" si="1"/>
        <v>6</v>
      </c>
      <c r="D8">
        <f ca="1">RANDBETWEEN(1,MAX(LocationType.csv!B:B))</f>
        <v>2</v>
      </c>
      <c r="E8" t="str">
        <f>Names!AA8</f>
        <v>Jeans Unlimited</v>
      </c>
      <c r="F8" t="s">
        <v>13</v>
      </c>
      <c r="G8" t="s">
        <v>13</v>
      </c>
      <c r="H8" t="str">
        <f>Names!G8</f>
        <v>2426 Cordova Street</v>
      </c>
      <c r="I8" t="str">
        <f>Names!H8</f>
        <v>Vancouver</v>
      </c>
      <c r="J8" t="str">
        <f>Names!I8</f>
        <v>BC</v>
      </c>
      <c r="K8" t="str">
        <f>Names!J8</f>
        <v>V6B 1E1</v>
      </c>
      <c r="L8" t="str">
        <f>Names!AJ8&amp;", "&amp;Names!AK8</f>
        <v>49.225717, -123.096645</v>
      </c>
      <c r="M8" t="str">
        <f t="shared" si="2"/>
        <v>'2010-10-10</v>
      </c>
      <c r="N8" t="s">
        <v>13</v>
      </c>
      <c r="O8">
        <f t="shared" si="3"/>
        <v>7</v>
      </c>
    </row>
    <row r="9" spans="1:15" x14ac:dyDescent="0.3">
      <c r="A9" t="s">
        <v>2451</v>
      </c>
      <c r="B9">
        <f t="shared" si="0"/>
        <v>8</v>
      </c>
      <c r="C9">
        <f t="shared" ca="1" si="1"/>
        <v>6</v>
      </c>
      <c r="D9">
        <f ca="1">RANDBETWEEN(1,MAX(LocationType.csv!B:B))</f>
        <v>2</v>
      </c>
      <c r="E9" t="str">
        <f>Names!AA9</f>
        <v>Museum Company</v>
      </c>
      <c r="F9" t="s">
        <v>13</v>
      </c>
      <c r="G9" t="s">
        <v>13</v>
      </c>
      <c r="H9" t="str">
        <f>Names!G9</f>
        <v>1019 Hardy Street</v>
      </c>
      <c r="I9" t="str">
        <f>Names!H9</f>
        <v>Kelowna</v>
      </c>
      <c r="J9" t="str">
        <f>Names!I9</f>
        <v>BC</v>
      </c>
      <c r="K9" t="str">
        <f>Names!J9</f>
        <v>V1Y 8H2</v>
      </c>
      <c r="L9" t="str">
        <f>Names!AJ9&amp;", "&amp;Names!AK9</f>
        <v>49.918469, -119.464391</v>
      </c>
      <c r="M9" t="str">
        <f t="shared" si="2"/>
        <v>'2010-10-10</v>
      </c>
      <c r="N9" t="s">
        <v>13</v>
      </c>
      <c r="O9">
        <f t="shared" si="3"/>
        <v>8</v>
      </c>
    </row>
    <row r="10" spans="1:15" x14ac:dyDescent="0.3">
      <c r="A10" t="s">
        <v>2451</v>
      </c>
      <c r="B10">
        <f t="shared" si="0"/>
        <v>9</v>
      </c>
      <c r="C10">
        <f t="shared" ca="1" si="1"/>
        <v>6</v>
      </c>
      <c r="D10">
        <f ca="1">RANDBETWEEN(1,MAX(LocationType.csv!B:B))</f>
        <v>1</v>
      </c>
      <c r="E10" t="str">
        <f>Names!AA10</f>
        <v>Henry's Hamburgers</v>
      </c>
      <c r="F10" t="s">
        <v>13</v>
      </c>
      <c r="G10" t="s">
        <v>13</v>
      </c>
      <c r="H10" t="str">
        <f>Names!G10</f>
        <v>1004 Robson St</v>
      </c>
      <c r="I10" t="str">
        <f>Names!H10</f>
        <v>Vancouver</v>
      </c>
      <c r="J10" t="str">
        <f>Names!I10</f>
        <v>BC</v>
      </c>
      <c r="K10" t="str">
        <f>Names!J10</f>
        <v>V6B 3K9</v>
      </c>
      <c r="L10" t="str">
        <f>Names!AJ10&amp;", "&amp;Names!AK10</f>
        <v>49.276168, -123.141111</v>
      </c>
      <c r="M10" t="str">
        <f t="shared" si="2"/>
        <v>'2010-10-10</v>
      </c>
      <c r="N10" t="s">
        <v>13</v>
      </c>
      <c r="O10">
        <f t="shared" si="3"/>
        <v>9</v>
      </c>
    </row>
    <row r="11" spans="1:15" x14ac:dyDescent="0.3">
      <c r="A11" t="s">
        <v>2451</v>
      </c>
      <c r="B11">
        <f t="shared" si="0"/>
        <v>10</v>
      </c>
      <c r="C11">
        <f t="shared" ca="1" si="1"/>
        <v>7</v>
      </c>
      <c r="D11">
        <f ca="1">RANDBETWEEN(1,MAX(LocationType.csv!B:B))</f>
        <v>2</v>
      </c>
      <c r="E11" t="str">
        <f>Names!AA11</f>
        <v>Body Toning</v>
      </c>
      <c r="F11" t="s">
        <v>13</v>
      </c>
      <c r="G11" t="s">
        <v>13</v>
      </c>
      <c r="H11" t="str">
        <f>Names!G11</f>
        <v>3561 Wellington Ave</v>
      </c>
      <c r="I11" t="str">
        <f>Names!H11</f>
        <v>Chilliwack</v>
      </c>
      <c r="J11" t="str">
        <f>Names!I11</f>
        <v>BC</v>
      </c>
      <c r="K11" t="str">
        <f>Names!J11</f>
        <v>V2P 2M1</v>
      </c>
      <c r="L11" t="str">
        <f>Names!AJ11&amp;", "&amp;Names!AK11</f>
        <v>49.084206, -121.928704</v>
      </c>
      <c r="M11" t="str">
        <f t="shared" si="2"/>
        <v>'2010-10-10</v>
      </c>
      <c r="N11" t="s">
        <v>13</v>
      </c>
      <c r="O11">
        <f t="shared" si="3"/>
        <v>10</v>
      </c>
    </row>
    <row r="12" spans="1:15" x14ac:dyDescent="0.3">
      <c r="A12" t="s">
        <v>2451</v>
      </c>
      <c r="B12">
        <f t="shared" si="0"/>
        <v>11</v>
      </c>
      <c r="C12">
        <f t="shared" ca="1" si="1"/>
        <v>7</v>
      </c>
      <c r="D12">
        <f ca="1">RANDBETWEEN(1,MAX(LocationType.csv!B:B))</f>
        <v>1</v>
      </c>
      <c r="E12" t="str">
        <f>Names!AA12</f>
        <v>Wells &amp; Wade</v>
      </c>
      <c r="F12" t="s">
        <v>13</v>
      </c>
      <c r="G12" t="s">
        <v>13</v>
      </c>
      <c r="H12" t="str">
        <f>Names!G12</f>
        <v>365 Old Spallumcheen Rd</v>
      </c>
      <c r="I12" t="str">
        <f>Names!H12</f>
        <v>Hope</v>
      </c>
      <c r="J12" t="str">
        <f>Names!I12</f>
        <v>BC</v>
      </c>
      <c r="K12" t="str">
        <f>Names!J12</f>
        <v>V0X 1L0</v>
      </c>
      <c r="L12" t="str">
        <f>Names!AJ12&amp;", "&amp;Names!AK12</f>
        <v>49.389221, -121.384717</v>
      </c>
      <c r="M12" t="str">
        <f t="shared" si="2"/>
        <v>'2010-10-10</v>
      </c>
      <c r="N12" t="s">
        <v>13</v>
      </c>
      <c r="O12">
        <f t="shared" si="3"/>
        <v>11</v>
      </c>
    </row>
    <row r="13" spans="1:15" x14ac:dyDescent="0.3">
      <c r="A13" t="s">
        <v>2451</v>
      </c>
      <c r="B13">
        <f t="shared" si="0"/>
        <v>12</v>
      </c>
      <c r="C13">
        <f t="shared" ca="1" si="1"/>
        <v>8</v>
      </c>
      <c r="D13">
        <f ca="1">RANDBETWEEN(1,MAX(LocationType.csv!B:B))</f>
        <v>2</v>
      </c>
      <c r="E13" t="str">
        <f>Names!AA13</f>
        <v>Brendle's</v>
      </c>
      <c r="F13" t="s">
        <v>13</v>
      </c>
      <c r="G13" t="s">
        <v>13</v>
      </c>
      <c r="H13" t="str">
        <f>Names!G13</f>
        <v>47 Noble Rd</v>
      </c>
      <c r="I13" t="str">
        <f>Names!H13</f>
        <v>Sayward</v>
      </c>
      <c r="J13" t="str">
        <f>Names!I13</f>
        <v>BC</v>
      </c>
      <c r="K13" t="str">
        <f>Names!J13</f>
        <v>V0P 1R0</v>
      </c>
      <c r="L13" t="str">
        <f>Names!AJ13&amp;", "&amp;Names!AK13</f>
        <v>50.251697, -125.976403</v>
      </c>
      <c r="M13" t="str">
        <f t="shared" si="2"/>
        <v>'2010-10-10</v>
      </c>
      <c r="N13" t="s">
        <v>13</v>
      </c>
      <c r="O13">
        <f t="shared" si="3"/>
        <v>12</v>
      </c>
    </row>
    <row r="14" spans="1:15" x14ac:dyDescent="0.3">
      <c r="A14" t="s">
        <v>2451</v>
      </c>
      <c r="B14">
        <f t="shared" si="0"/>
        <v>13</v>
      </c>
      <c r="C14">
        <f t="shared" ca="1" si="1"/>
        <v>8</v>
      </c>
      <c r="D14">
        <f ca="1">RANDBETWEEN(1,MAX(LocationType.csv!B:B))</f>
        <v>1</v>
      </c>
      <c r="E14" t="str">
        <f>Names!AA14</f>
        <v>Britling Cafeterias</v>
      </c>
      <c r="F14" t="s">
        <v>13</v>
      </c>
      <c r="G14" t="s">
        <v>13</v>
      </c>
      <c r="H14" t="str">
        <f>Names!G14</f>
        <v>4764 Jade St</v>
      </c>
      <c r="I14" t="str">
        <f>Names!H14</f>
        <v>Richmond</v>
      </c>
      <c r="J14" t="str">
        <f>Names!I14</f>
        <v>BC</v>
      </c>
      <c r="K14" t="str">
        <f>Names!J14</f>
        <v>V7E 2E4</v>
      </c>
      <c r="L14" t="str">
        <f>Names!AJ14&amp;", "&amp;Names!AK14</f>
        <v>49.165132, -122.902407</v>
      </c>
      <c r="M14" t="str">
        <f t="shared" si="2"/>
        <v>'2010-10-10</v>
      </c>
      <c r="N14" t="s">
        <v>13</v>
      </c>
      <c r="O14">
        <f t="shared" si="3"/>
        <v>13</v>
      </c>
    </row>
    <row r="15" spans="1:15" x14ac:dyDescent="0.3">
      <c r="A15" t="s">
        <v>2451</v>
      </c>
      <c r="B15">
        <f t="shared" si="0"/>
        <v>14</v>
      </c>
      <c r="C15">
        <f t="shared" ca="1" si="1"/>
        <v>9</v>
      </c>
      <c r="D15">
        <f ca="1">RANDBETWEEN(1,MAX(LocationType.csv!B:B))</f>
        <v>2</v>
      </c>
      <c r="E15" t="str">
        <f>Names!AA15</f>
        <v>Harold's</v>
      </c>
      <c r="F15" t="s">
        <v>13</v>
      </c>
      <c r="G15" t="s">
        <v>13</v>
      </c>
      <c r="H15" t="str">
        <f>Names!G15</f>
        <v>3356 Wallace Street</v>
      </c>
      <c r="I15" t="str">
        <f>Names!H15</f>
        <v>Nanaimo</v>
      </c>
      <c r="J15" t="str">
        <f>Names!I15</f>
        <v>BC</v>
      </c>
      <c r="K15" t="str">
        <f>Names!J15</f>
        <v>V9R 3A8</v>
      </c>
      <c r="L15" t="str">
        <f>Names!AJ15&amp;", "&amp;Names!AK15</f>
        <v>49.159899, -123.901311</v>
      </c>
      <c r="M15" t="str">
        <f t="shared" si="2"/>
        <v>'2010-10-10</v>
      </c>
      <c r="N15" t="s">
        <v>13</v>
      </c>
      <c r="O15">
        <f t="shared" si="3"/>
        <v>14</v>
      </c>
    </row>
    <row r="16" spans="1:15" x14ac:dyDescent="0.3">
      <c r="A16" t="s">
        <v>2451</v>
      </c>
      <c r="B16">
        <f t="shared" si="0"/>
        <v>15</v>
      </c>
      <c r="C16">
        <f t="shared" ca="1" si="1"/>
        <v>9</v>
      </c>
      <c r="D16">
        <f ca="1">RANDBETWEEN(1,MAX(LocationType.csv!B:B))</f>
        <v>2</v>
      </c>
      <c r="E16" t="str">
        <f>Names!AA16</f>
        <v>Record World</v>
      </c>
      <c r="F16" t="s">
        <v>13</v>
      </c>
      <c r="G16" t="s">
        <v>13</v>
      </c>
      <c r="H16" t="str">
        <f>Names!G16</f>
        <v>4173 James Street</v>
      </c>
      <c r="I16" t="str">
        <f>Names!H16</f>
        <v>Burnaby</v>
      </c>
      <c r="J16" t="str">
        <f>Names!I16</f>
        <v>BC</v>
      </c>
      <c r="K16" t="str">
        <f>Names!J16</f>
        <v>V5G 4W7</v>
      </c>
      <c r="L16" t="str">
        <f>Names!AJ16&amp;", "&amp;Names!AK16</f>
        <v>49.318073, -123.015039</v>
      </c>
      <c r="M16" t="str">
        <f t="shared" si="2"/>
        <v>'2010-10-10</v>
      </c>
      <c r="N16" t="s">
        <v>13</v>
      </c>
      <c r="O16">
        <f t="shared" si="3"/>
        <v>15</v>
      </c>
    </row>
    <row r="17" spans="1:15" x14ac:dyDescent="0.3">
      <c r="A17" t="s">
        <v>2451</v>
      </c>
      <c r="B17">
        <f t="shared" si="0"/>
        <v>16</v>
      </c>
      <c r="C17">
        <f t="shared" ca="1" si="1"/>
        <v>9</v>
      </c>
      <c r="D17">
        <f ca="1">RANDBETWEEN(1,MAX(LocationType.csv!B:B))</f>
        <v>1</v>
      </c>
      <c r="E17" t="str">
        <f>Names!AA17</f>
        <v xml:space="preserve">The Fox and Hound </v>
      </c>
      <c r="F17" t="s">
        <v>13</v>
      </c>
      <c r="G17" t="s">
        <v>13</v>
      </c>
      <c r="H17" t="str">
        <f>Names!G17</f>
        <v>2553 Holdom Avenue</v>
      </c>
      <c r="I17" t="str">
        <f>Names!H17</f>
        <v>Surrey</v>
      </c>
      <c r="J17" t="str">
        <f>Names!I17</f>
        <v>BC</v>
      </c>
      <c r="K17" t="str">
        <f>Names!J17</f>
        <v>V3T 4Y5</v>
      </c>
      <c r="L17" t="str">
        <f>Names!AJ17&amp;", "&amp;Names!AK17</f>
        <v>49.207543, -122.793095</v>
      </c>
      <c r="M17" t="str">
        <f t="shared" si="2"/>
        <v>'2010-10-10</v>
      </c>
      <c r="N17" t="s">
        <v>13</v>
      </c>
      <c r="O17">
        <f t="shared" si="3"/>
        <v>16</v>
      </c>
    </row>
    <row r="18" spans="1:15" x14ac:dyDescent="0.3">
      <c r="A18" t="s">
        <v>2451</v>
      </c>
      <c r="B18">
        <f t="shared" si="0"/>
        <v>17</v>
      </c>
      <c r="C18">
        <f t="shared" ca="1" si="1"/>
        <v>9</v>
      </c>
      <c r="D18">
        <f ca="1">RANDBETWEEN(1,MAX(LocationType.csv!B:B))</f>
        <v>2</v>
      </c>
      <c r="E18" t="str">
        <f>Names!AA18</f>
        <v>Edwards</v>
      </c>
      <c r="F18" t="s">
        <v>13</v>
      </c>
      <c r="G18" t="s">
        <v>13</v>
      </c>
      <c r="H18" t="str">
        <f>Names!G18</f>
        <v>3924 Roger Street</v>
      </c>
      <c r="I18" t="str">
        <f>Names!H18</f>
        <v>Duncan</v>
      </c>
      <c r="J18" t="str">
        <f>Names!I18</f>
        <v>BC</v>
      </c>
      <c r="K18" t="str">
        <f>Names!J18</f>
        <v>V9L 1P1</v>
      </c>
      <c r="L18" t="str">
        <f>Names!AJ18&amp;", "&amp;Names!AK18</f>
        <v>48.70221, -123.759646</v>
      </c>
      <c r="M18" t="str">
        <f t="shared" si="2"/>
        <v>'2010-10-10</v>
      </c>
      <c r="N18" t="s">
        <v>13</v>
      </c>
      <c r="O18">
        <f t="shared" si="3"/>
        <v>17</v>
      </c>
    </row>
    <row r="19" spans="1:15" x14ac:dyDescent="0.3">
      <c r="A19" t="s">
        <v>2451</v>
      </c>
      <c r="B19">
        <f t="shared" si="0"/>
        <v>18</v>
      </c>
      <c r="C19">
        <f t="shared" ca="1" si="1"/>
        <v>10</v>
      </c>
      <c r="D19">
        <f ca="1">RANDBETWEEN(1,MAX(LocationType.csv!B:B))</f>
        <v>2</v>
      </c>
      <c r="E19" t="str">
        <f>Names!AA19</f>
        <v>Grass Roots Yard Services</v>
      </c>
      <c r="F19" t="s">
        <v>13</v>
      </c>
      <c r="G19" t="s">
        <v>13</v>
      </c>
      <c r="H19" t="str">
        <f>Names!G19</f>
        <v>616 Scotts Lane</v>
      </c>
      <c r="I19" t="str">
        <f>Names!H19</f>
        <v>Okanagan Mission</v>
      </c>
      <c r="J19" t="str">
        <f>Names!I19</f>
        <v>BC</v>
      </c>
      <c r="K19" t="str">
        <f>Names!J19</f>
        <v>V0R 1S0</v>
      </c>
      <c r="L19" t="str">
        <f>Names!AJ19&amp;", "&amp;Names!AK19</f>
        <v>49.724281, -119.424868</v>
      </c>
      <c r="M19" t="str">
        <f t="shared" si="2"/>
        <v>'2010-10-10</v>
      </c>
      <c r="N19" t="s">
        <v>13</v>
      </c>
      <c r="O19">
        <f t="shared" si="3"/>
        <v>18</v>
      </c>
    </row>
    <row r="20" spans="1:15" x14ac:dyDescent="0.3">
      <c r="A20" t="s">
        <v>2451</v>
      </c>
      <c r="B20">
        <f t="shared" si="0"/>
        <v>19</v>
      </c>
      <c r="C20">
        <f t="shared" ca="1" si="1"/>
        <v>10</v>
      </c>
      <c r="D20">
        <f ca="1">RANDBETWEEN(1,MAX(LocationType.csv!B:B))</f>
        <v>1</v>
      </c>
      <c r="E20" t="str">
        <f>Names!AA20</f>
        <v>Pantry Food Stores</v>
      </c>
      <c r="F20" t="s">
        <v>13</v>
      </c>
      <c r="G20" t="s">
        <v>13</v>
      </c>
      <c r="H20" t="str">
        <f>Names!G20</f>
        <v>3690 Findlay Creek Road</v>
      </c>
      <c r="I20" t="str">
        <f>Names!H20</f>
        <v>Fairmont Hot Springs</v>
      </c>
      <c r="J20" t="str">
        <f>Names!I20</f>
        <v>BC</v>
      </c>
      <c r="K20" t="str">
        <f>Names!J20</f>
        <v>V0B 1L0</v>
      </c>
      <c r="L20" t="str">
        <f>Names!AJ20&amp;", "&amp;Names!AK20</f>
        <v>50.251889, -115.911884</v>
      </c>
      <c r="M20" t="str">
        <f t="shared" si="2"/>
        <v>'2010-10-10</v>
      </c>
      <c r="N20" t="s">
        <v>13</v>
      </c>
      <c r="O20">
        <f t="shared" si="3"/>
        <v>19</v>
      </c>
    </row>
    <row r="21" spans="1:15" x14ac:dyDescent="0.3">
      <c r="A21" t="s">
        <v>2451</v>
      </c>
      <c r="B21">
        <f t="shared" si="0"/>
        <v>20</v>
      </c>
      <c r="C21">
        <f t="shared" ca="1" si="1"/>
        <v>10</v>
      </c>
      <c r="D21">
        <f ca="1">RANDBETWEEN(1,MAX(LocationType.csv!B:B))</f>
        <v>2</v>
      </c>
      <c r="E21" t="str">
        <f>Names!AA21</f>
        <v>Magik Grey</v>
      </c>
      <c r="F21" t="s">
        <v>13</v>
      </c>
      <c r="G21" t="s">
        <v>13</v>
      </c>
      <c r="H21" t="str">
        <f>Names!G21</f>
        <v>1065 Sixth Street</v>
      </c>
      <c r="I21" t="str">
        <f>Names!H21</f>
        <v>New Westminster</v>
      </c>
      <c r="J21" t="str">
        <f>Names!I21</f>
        <v>BC</v>
      </c>
      <c r="K21" t="str">
        <f>Names!J21</f>
        <v>V3L 3C1</v>
      </c>
      <c r="L21" t="str">
        <f>Names!AJ21&amp;", "&amp;Names!AK21</f>
        <v>49.26517, -122.894774</v>
      </c>
      <c r="M21" t="str">
        <f t="shared" si="2"/>
        <v>'2010-10-10</v>
      </c>
      <c r="N21" t="s">
        <v>13</v>
      </c>
      <c r="O21">
        <f t="shared" si="3"/>
        <v>20</v>
      </c>
    </row>
    <row r="22" spans="1:15" x14ac:dyDescent="0.3">
      <c r="A22" t="s">
        <v>2451</v>
      </c>
      <c r="B22">
        <f t="shared" si="0"/>
        <v>21</v>
      </c>
      <c r="C22">
        <f t="shared" ca="1" si="1"/>
        <v>11</v>
      </c>
      <c r="D22">
        <f ca="1">RANDBETWEEN(1,MAX(LocationType.csv!B:B))</f>
        <v>1</v>
      </c>
      <c r="E22" t="str">
        <f>Names!AA22</f>
        <v>Pantry Pride</v>
      </c>
      <c r="F22" t="s">
        <v>13</v>
      </c>
      <c r="G22" t="s">
        <v>13</v>
      </c>
      <c r="H22" t="str">
        <f>Names!G22</f>
        <v>2261 Blanshard</v>
      </c>
      <c r="I22" t="str">
        <f>Names!H22</f>
        <v>Victoria</v>
      </c>
      <c r="J22" t="str">
        <f>Names!I22</f>
        <v>BC</v>
      </c>
      <c r="K22" t="str">
        <f>Names!J22</f>
        <v>V8W 2H9</v>
      </c>
      <c r="L22" t="str">
        <f>Names!AJ22&amp;", "&amp;Names!AK22</f>
        <v>48.521663, -123.310254</v>
      </c>
      <c r="M22" t="str">
        <f t="shared" si="2"/>
        <v>'2010-10-10</v>
      </c>
      <c r="N22" t="s">
        <v>13</v>
      </c>
      <c r="O22">
        <f t="shared" si="3"/>
        <v>21</v>
      </c>
    </row>
    <row r="23" spans="1:15" x14ac:dyDescent="0.3">
      <c r="A23" t="s">
        <v>2451</v>
      </c>
      <c r="B23">
        <f t="shared" si="0"/>
        <v>22</v>
      </c>
      <c r="C23">
        <f t="shared" ca="1" si="1"/>
        <v>11</v>
      </c>
      <c r="D23">
        <f ca="1">RANDBETWEEN(1,MAX(LocationType.csv!B:B))</f>
        <v>1</v>
      </c>
      <c r="E23" t="str">
        <f>Names!AA23</f>
        <v>Sandy's</v>
      </c>
      <c r="F23" t="s">
        <v>13</v>
      </c>
      <c r="G23" t="s">
        <v>13</v>
      </c>
      <c r="H23" t="str">
        <f>Names!G23</f>
        <v>4761 King George Hwy</v>
      </c>
      <c r="I23" t="str">
        <f>Names!H23</f>
        <v>Surrey</v>
      </c>
      <c r="J23" t="str">
        <f>Names!I23</f>
        <v>BC</v>
      </c>
      <c r="K23" t="str">
        <f>Names!J23</f>
        <v>V3W 4E3</v>
      </c>
      <c r="L23" t="str">
        <f>Names!AJ23&amp;", "&amp;Names!AK23</f>
        <v>49.11967, -122.916235</v>
      </c>
      <c r="M23" t="str">
        <f t="shared" si="2"/>
        <v>'2010-10-10</v>
      </c>
      <c r="N23" t="s">
        <v>13</v>
      </c>
      <c r="O23">
        <f t="shared" si="3"/>
        <v>22</v>
      </c>
    </row>
    <row r="24" spans="1:15" x14ac:dyDescent="0.3">
      <c r="A24" t="s">
        <v>2451</v>
      </c>
      <c r="B24">
        <f t="shared" si="0"/>
        <v>23</v>
      </c>
      <c r="C24">
        <f t="shared" ca="1" si="1"/>
        <v>11</v>
      </c>
      <c r="D24">
        <f ca="1">RANDBETWEEN(1,MAX(LocationType.csv!B:B))</f>
        <v>2</v>
      </c>
      <c r="E24" t="str">
        <f>Names!AA24</f>
        <v>Earthworks Garden Kare</v>
      </c>
      <c r="F24" t="s">
        <v>13</v>
      </c>
      <c r="G24" t="s">
        <v>13</v>
      </c>
      <c r="H24" t="str">
        <f>Names!G24</f>
        <v>4136 Glover Road</v>
      </c>
      <c r="I24" t="str">
        <f>Names!H24</f>
        <v>Langley</v>
      </c>
      <c r="J24" t="str">
        <f>Names!I24</f>
        <v>BC</v>
      </c>
      <c r="K24" t="str">
        <f>Names!J24</f>
        <v>V3A 4P6</v>
      </c>
      <c r="L24" t="str">
        <f>Names!AJ24&amp;", "&amp;Names!AK24</f>
        <v>49.155092, -122.682652</v>
      </c>
      <c r="M24" t="str">
        <f t="shared" si="2"/>
        <v>'2010-10-10</v>
      </c>
      <c r="N24" t="s">
        <v>13</v>
      </c>
      <c r="O24">
        <f t="shared" si="3"/>
        <v>23</v>
      </c>
    </row>
    <row r="25" spans="1:15" x14ac:dyDescent="0.3">
      <c r="A25" t="s">
        <v>2451</v>
      </c>
      <c r="B25">
        <f t="shared" si="0"/>
        <v>24</v>
      </c>
      <c r="C25">
        <f t="shared" ca="1" si="1"/>
        <v>11</v>
      </c>
      <c r="D25">
        <f ca="1">RANDBETWEEN(1,MAX(LocationType.csv!B:B))</f>
        <v>1</v>
      </c>
      <c r="E25" t="str">
        <f>Names!AA25</f>
        <v>Gamma Gas</v>
      </c>
      <c r="F25" t="s">
        <v>13</v>
      </c>
      <c r="G25" t="s">
        <v>13</v>
      </c>
      <c r="H25" t="str">
        <f>Names!G25</f>
        <v>735 Wallace Street</v>
      </c>
      <c r="I25" t="str">
        <f>Names!H25</f>
        <v>Nanaimo</v>
      </c>
      <c r="J25" t="str">
        <f>Names!I25</f>
        <v>BC</v>
      </c>
      <c r="K25" t="str">
        <f>Names!J25</f>
        <v>V9R 3A8</v>
      </c>
      <c r="L25" t="str">
        <f>Names!AJ25&amp;", "&amp;Names!AK25</f>
        <v>49.108632, -123.871502</v>
      </c>
      <c r="M25" t="str">
        <f t="shared" si="2"/>
        <v>'2010-10-10</v>
      </c>
      <c r="N25" t="s">
        <v>13</v>
      </c>
      <c r="O25">
        <f t="shared" si="3"/>
        <v>24</v>
      </c>
    </row>
    <row r="26" spans="1:15" x14ac:dyDescent="0.3">
      <c r="A26" t="s">
        <v>2451</v>
      </c>
      <c r="B26">
        <f t="shared" si="0"/>
        <v>25</v>
      </c>
      <c r="C26">
        <f t="shared" ca="1" si="1"/>
        <v>11</v>
      </c>
      <c r="D26">
        <f ca="1">RANDBETWEEN(1,MAX(LocationType.csv!B:B))</f>
        <v>1</v>
      </c>
      <c r="E26" t="str">
        <f>Names!AA26</f>
        <v>Universo Realtors</v>
      </c>
      <c r="F26" t="s">
        <v>13</v>
      </c>
      <c r="G26" t="s">
        <v>13</v>
      </c>
      <c r="H26" t="str">
        <f>Names!G26</f>
        <v>4359 Yoho Valley Road</v>
      </c>
      <c r="I26" t="str">
        <f>Names!H26</f>
        <v>Spillimacheen</v>
      </c>
      <c r="J26" t="str">
        <f>Names!I26</f>
        <v>BC</v>
      </c>
      <c r="K26" t="str">
        <f>Names!J26</f>
        <v>V0A 1P0</v>
      </c>
      <c r="L26" t="str">
        <f>Names!AJ26&amp;", "&amp;Names!AK26</f>
        <v>50.921767, -116.344166</v>
      </c>
      <c r="M26" t="str">
        <f t="shared" si="2"/>
        <v>'2010-10-10</v>
      </c>
      <c r="N26" t="s">
        <v>13</v>
      </c>
      <c r="O26">
        <f t="shared" si="3"/>
        <v>25</v>
      </c>
    </row>
    <row r="27" spans="1:15" x14ac:dyDescent="0.3">
      <c r="A27" t="s">
        <v>2451</v>
      </c>
      <c r="B27">
        <f t="shared" si="0"/>
        <v>26</v>
      </c>
      <c r="C27">
        <f t="shared" ca="1" si="1"/>
        <v>11</v>
      </c>
      <c r="D27">
        <f ca="1">RANDBETWEEN(1,MAX(LocationType.csv!B:B))</f>
        <v>1</v>
      </c>
      <c r="E27" t="str">
        <f>Names!AA27</f>
        <v>Gas Depot</v>
      </c>
      <c r="F27" t="s">
        <v>13</v>
      </c>
      <c r="G27" t="s">
        <v>13</v>
      </c>
      <c r="H27" t="str">
        <f>Names!G27</f>
        <v>2890 Burdett Avenue</v>
      </c>
      <c r="I27" t="str">
        <f>Names!H27</f>
        <v>Victoria</v>
      </c>
      <c r="J27" t="str">
        <f>Names!I27</f>
        <v>BC</v>
      </c>
      <c r="K27" t="str">
        <f>Names!J27</f>
        <v>V8Y 1Y7</v>
      </c>
      <c r="L27" t="str">
        <f>Names!AJ27&amp;", "&amp;Names!AK27</f>
        <v>48.415871, -123.392253</v>
      </c>
      <c r="M27" t="str">
        <f t="shared" si="2"/>
        <v>'2010-10-10</v>
      </c>
      <c r="N27" t="s">
        <v>13</v>
      </c>
      <c r="O27">
        <f t="shared" si="3"/>
        <v>26</v>
      </c>
    </row>
    <row r="28" spans="1:15" x14ac:dyDescent="0.3">
      <c r="A28" t="s">
        <v>2451</v>
      </c>
      <c r="B28">
        <f t="shared" si="0"/>
        <v>27</v>
      </c>
      <c r="C28">
        <f t="shared" ca="1" si="1"/>
        <v>11</v>
      </c>
      <c r="D28">
        <f ca="1">RANDBETWEEN(1,MAX(LocationType.csv!B:B))</f>
        <v>2</v>
      </c>
      <c r="E28" t="str">
        <f>Names!AA28</f>
        <v>Service Merchandise</v>
      </c>
      <c r="F28" t="s">
        <v>13</v>
      </c>
      <c r="G28" t="s">
        <v>13</v>
      </c>
      <c r="H28" t="str">
        <f>Names!G28</f>
        <v>1323 Cordova Street</v>
      </c>
      <c r="I28" t="str">
        <f>Names!H28</f>
        <v>Vancouver</v>
      </c>
      <c r="J28" t="str">
        <f>Names!I28</f>
        <v>BC</v>
      </c>
      <c r="K28" t="str">
        <f>Names!J28</f>
        <v>V6B 1E1</v>
      </c>
      <c r="L28" t="str">
        <f>Names!AJ28&amp;", "&amp;Names!AK28</f>
        <v>49.203986, -123.160493</v>
      </c>
      <c r="M28" t="str">
        <f t="shared" si="2"/>
        <v>'2010-10-10</v>
      </c>
      <c r="N28" t="s">
        <v>13</v>
      </c>
      <c r="O28">
        <f t="shared" si="3"/>
        <v>27</v>
      </c>
    </row>
    <row r="29" spans="1:15" x14ac:dyDescent="0.3">
      <c r="A29" t="s">
        <v>2451</v>
      </c>
      <c r="B29">
        <f t="shared" si="0"/>
        <v>28</v>
      </c>
      <c r="C29">
        <f t="shared" ca="1" si="1"/>
        <v>11</v>
      </c>
      <c r="D29">
        <f ca="1">RANDBETWEEN(1,MAX(LocationType.csv!B:B))</f>
        <v>1</v>
      </c>
      <c r="E29" t="str">
        <f>Names!AA29</f>
        <v>Lionel Playworld</v>
      </c>
      <c r="F29" t="s">
        <v>13</v>
      </c>
      <c r="G29" t="s">
        <v>13</v>
      </c>
      <c r="H29" t="str">
        <f>Names!G29</f>
        <v>727 Glover Road</v>
      </c>
      <c r="I29" t="str">
        <f>Names!H29</f>
        <v>Langley</v>
      </c>
      <c r="J29" t="str">
        <f>Names!I29</f>
        <v>BC</v>
      </c>
      <c r="K29" t="str">
        <f>Names!J29</f>
        <v>V3A 4P6</v>
      </c>
      <c r="L29" t="str">
        <f>Names!AJ29&amp;", "&amp;Names!AK29</f>
        <v>49.062115, -122.619842</v>
      </c>
      <c r="M29" t="str">
        <f t="shared" si="2"/>
        <v>'2010-10-10</v>
      </c>
      <c r="N29" t="s">
        <v>13</v>
      </c>
      <c r="O29">
        <f t="shared" si="3"/>
        <v>28</v>
      </c>
    </row>
    <row r="30" spans="1:15" x14ac:dyDescent="0.3">
      <c r="A30" t="s">
        <v>2451</v>
      </c>
      <c r="B30">
        <f t="shared" si="0"/>
        <v>29</v>
      </c>
      <c r="C30">
        <f t="shared" ca="1" si="1"/>
        <v>12</v>
      </c>
      <c r="D30">
        <f ca="1">RANDBETWEEN(1,MAX(LocationType.csv!B:B))</f>
        <v>2</v>
      </c>
      <c r="E30" t="str">
        <f>Names!AA30</f>
        <v>Success Is Yours</v>
      </c>
      <c r="F30" t="s">
        <v>13</v>
      </c>
      <c r="G30" t="s">
        <v>13</v>
      </c>
      <c r="H30" t="str">
        <f>Names!G30</f>
        <v>2814 Scotts Lane</v>
      </c>
      <c r="I30" t="str">
        <f>Names!H30</f>
        <v>Youbou</v>
      </c>
      <c r="J30" t="str">
        <f>Names!I30</f>
        <v>BC</v>
      </c>
      <c r="K30" t="str">
        <f>Names!J30</f>
        <v>V0R 3E0</v>
      </c>
      <c r="L30" t="str">
        <f>Names!AJ30&amp;", "&amp;Names!AK30</f>
        <v>48.976957, -124.127457</v>
      </c>
      <c r="M30" t="str">
        <f t="shared" si="2"/>
        <v>'2010-10-10</v>
      </c>
      <c r="N30" t="s">
        <v>13</v>
      </c>
      <c r="O30">
        <f t="shared" si="3"/>
        <v>29</v>
      </c>
    </row>
    <row r="31" spans="1:15" x14ac:dyDescent="0.3">
      <c r="A31" t="s">
        <v>2451</v>
      </c>
      <c r="B31">
        <f t="shared" si="0"/>
        <v>30</v>
      </c>
      <c r="C31">
        <f t="shared" ca="1" si="1"/>
        <v>13</v>
      </c>
      <c r="D31">
        <f ca="1">RANDBETWEEN(1,MAX(LocationType.csv!B:B))</f>
        <v>2</v>
      </c>
      <c r="E31" t="str">
        <f>Names!AA31</f>
        <v>Stratacard</v>
      </c>
      <c r="F31" t="s">
        <v>13</v>
      </c>
      <c r="G31" t="s">
        <v>13</v>
      </c>
      <c r="H31" t="str">
        <f>Names!G31</f>
        <v>907 Nootka Street</v>
      </c>
      <c r="I31" t="str">
        <f>Names!H31</f>
        <v>Vancouver</v>
      </c>
      <c r="J31" t="str">
        <f>Names!I31</f>
        <v>BC</v>
      </c>
      <c r="K31" t="str">
        <f>Names!J31</f>
        <v>V5M 3M5</v>
      </c>
      <c r="L31" t="str">
        <f>Names!AJ31&amp;", "&amp;Names!AK31</f>
        <v>49.271195, -123.209605</v>
      </c>
      <c r="M31" t="str">
        <f t="shared" si="2"/>
        <v>'2010-10-10</v>
      </c>
      <c r="N31" t="s">
        <v>13</v>
      </c>
      <c r="O31">
        <f t="shared" si="3"/>
        <v>30</v>
      </c>
    </row>
    <row r="32" spans="1:15" x14ac:dyDescent="0.3">
      <c r="A32" t="s">
        <v>2451</v>
      </c>
      <c r="B32">
        <f t="shared" si="0"/>
        <v>31</v>
      </c>
      <c r="C32">
        <f t="shared" ca="1" si="1"/>
        <v>13</v>
      </c>
      <c r="D32">
        <f ca="1">RANDBETWEEN(1,MAX(LocationType.csv!B:B))</f>
        <v>1</v>
      </c>
      <c r="E32" t="str">
        <f>Names!AA32</f>
        <v>J. Brannam</v>
      </c>
      <c r="F32" t="s">
        <v>13</v>
      </c>
      <c r="G32" t="s">
        <v>13</v>
      </c>
      <c r="H32" t="str">
        <f>Names!G32</f>
        <v>4528 Nootka Street</v>
      </c>
      <c r="I32" t="str">
        <f>Names!H32</f>
        <v>Vancouver</v>
      </c>
      <c r="J32" t="str">
        <f>Names!I32</f>
        <v>BC</v>
      </c>
      <c r="K32" t="str">
        <f>Names!J32</f>
        <v>V5M 3M5</v>
      </c>
      <c r="L32" t="str">
        <f>Names!AJ32&amp;", "&amp;Names!AK32</f>
        <v>49.232858, -123.104597</v>
      </c>
      <c r="M32" t="str">
        <f t="shared" si="2"/>
        <v>'2010-10-10</v>
      </c>
      <c r="N32" t="s">
        <v>13</v>
      </c>
      <c r="O32">
        <f t="shared" si="3"/>
        <v>31</v>
      </c>
    </row>
    <row r="33" spans="1:15" x14ac:dyDescent="0.3">
      <c r="A33" t="s">
        <v>2451</v>
      </c>
      <c r="B33">
        <f t="shared" si="0"/>
        <v>32</v>
      </c>
      <c r="C33">
        <f t="shared" ca="1" si="1"/>
        <v>13</v>
      </c>
      <c r="D33">
        <f ca="1">RANDBETWEEN(1,MAX(LocationType.csv!B:B))</f>
        <v>2</v>
      </c>
      <c r="E33" t="str">
        <f>Names!AA33</f>
        <v>Happy Family</v>
      </c>
      <c r="F33" t="s">
        <v>13</v>
      </c>
      <c r="G33" t="s">
        <v>13</v>
      </c>
      <c r="H33" t="str">
        <f>Names!G33</f>
        <v>2183 Kinchant St</v>
      </c>
      <c r="I33" t="str">
        <f>Names!H33</f>
        <v>Prince George</v>
      </c>
      <c r="J33" t="str">
        <f>Names!I33</f>
        <v>BC</v>
      </c>
      <c r="K33" t="str">
        <f>Names!J33</f>
        <v>V2N 2S6</v>
      </c>
      <c r="L33" t="str">
        <f>Names!AJ33&amp;", "&amp;Names!AK33</f>
        <v>53.867328, -122.760912</v>
      </c>
      <c r="M33" t="str">
        <f t="shared" si="2"/>
        <v>'2010-10-10</v>
      </c>
      <c r="N33" t="s">
        <v>13</v>
      </c>
      <c r="O33">
        <f t="shared" si="3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3"/>
  <sheetViews>
    <sheetView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1" max="1" width="4" bestFit="1" customWidth="1"/>
    <col min="2" max="2" width="2.5546875" bestFit="1" customWidth="1"/>
    <col min="3" max="4" width="12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2505</v>
      </c>
      <c r="D1" s="2" t="s">
        <v>2400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2455</v>
      </c>
      <c r="B2">
        <f>IF(ISNUMBER(B1),B1+1,1)</f>
        <v>1</v>
      </c>
      <c r="C2" t="s">
        <v>2454</v>
      </c>
      <c r="D2" t="s">
        <v>2454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2455</v>
      </c>
      <c r="B3">
        <f>IF(ISNUMBER(B2),B2+1,1)</f>
        <v>2</v>
      </c>
      <c r="C3" t="s">
        <v>2482</v>
      </c>
      <c r="D3" t="s">
        <v>2482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37"/>
  <sheetViews>
    <sheetView workbookViewId="0">
      <pane ySplit="1" topLeftCell="A2" activePane="bottomLeft" state="frozen"/>
      <selection pane="bottomLeft" activeCell="C1" sqref="C1"/>
    </sheetView>
  </sheetViews>
  <sheetFormatPr defaultRowHeight="14.4" x14ac:dyDescent="0.3"/>
  <cols>
    <col min="1" max="1" width="5.5546875" bestFit="1" customWidth="1"/>
    <col min="2" max="2" width="3" bestFit="1" customWidth="1"/>
    <col min="3" max="3" width="12" bestFit="1" customWidth="1"/>
    <col min="4" max="4" width="22.44140625" bestFit="1" customWidth="1"/>
    <col min="5" max="5" width="12.33203125" bestFit="1" customWidth="1"/>
    <col min="6" max="6" width="8.109375" bestFit="1" customWidth="1"/>
    <col min="7" max="7" width="3.332031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2502</v>
      </c>
      <c r="D1" s="2" t="s">
        <v>2506</v>
      </c>
      <c r="E1" s="2" t="s">
        <v>2398</v>
      </c>
      <c r="F1" s="2" t="s">
        <v>2424</v>
      </c>
      <c r="G1" s="2" t="s">
        <v>2425</v>
      </c>
    </row>
    <row r="2" spans="1:7" x14ac:dyDescent="0.3">
      <c r="A2" t="str">
        <f t="shared" ref="A2:A33" ca="1" si="0">IF(AND(C2=C1,C2 &lt;&gt; 0),"VODBA","-")</f>
        <v>-</v>
      </c>
      <c r="B2">
        <f ca="1">IF(A2="-",IF(ISNUMBER(B1),B1,0),B1+1)</f>
        <v>0</v>
      </c>
      <c r="C2">
        <f ca="1">Location.csv!C2</f>
        <v>1</v>
      </c>
      <c r="D2" t="str">
        <f>Location.csv!E2</f>
        <v>The Original House of Pies</v>
      </c>
      <c r="E2" t="str">
        <f>"'"&amp;TEXT("10-Oct-2010","YYYY-MM-DD")</f>
        <v>'2010-10-10</v>
      </c>
      <c r="F2" t="s">
        <v>13</v>
      </c>
      <c r="G2">
        <f ca="1">B2</f>
        <v>0</v>
      </c>
    </row>
    <row r="3" spans="1:7" x14ac:dyDescent="0.3">
      <c r="A3" t="str">
        <f t="shared" ca="1" si="0"/>
        <v>-</v>
      </c>
      <c r="B3">
        <f t="shared" ref="B3:B37" ca="1" si="1">IF(A3="-",IF(ISNUMBER(B2),B2,0),B2+1)</f>
        <v>0</v>
      </c>
      <c r="C3">
        <f ca="1">Location.csv!C3</f>
        <v>2</v>
      </c>
      <c r="D3" t="str">
        <f>Location.csv!E3</f>
        <v>Asian Junction</v>
      </c>
      <c r="E3" t="str">
        <f t="shared" ref="E3:E37" si="2">"'"&amp;TEXT("10-Oct-2010","YYYY-MM-DD")</f>
        <v>'2010-10-10</v>
      </c>
      <c r="F3" t="s">
        <v>13</v>
      </c>
      <c r="G3">
        <f t="shared" ref="G3:G37" ca="1" si="3">B3</f>
        <v>0</v>
      </c>
    </row>
    <row r="4" spans="1:7" x14ac:dyDescent="0.3">
      <c r="A4" t="str">
        <f t="shared" ca="1" si="0"/>
        <v>-</v>
      </c>
      <c r="B4">
        <f t="shared" ca="1" si="1"/>
        <v>0</v>
      </c>
      <c r="C4">
        <f ca="1">Location.csv!C4</f>
        <v>3</v>
      </c>
      <c r="D4" t="str">
        <f>Location.csv!E4</f>
        <v>Price Savers</v>
      </c>
      <c r="E4" t="str">
        <f t="shared" si="2"/>
        <v>'2010-10-10</v>
      </c>
      <c r="F4" t="s">
        <v>13</v>
      </c>
      <c r="G4">
        <f t="shared" ca="1" si="3"/>
        <v>0</v>
      </c>
    </row>
    <row r="5" spans="1:7" x14ac:dyDescent="0.3">
      <c r="A5" t="str">
        <f t="shared" ca="1" si="0"/>
        <v>VODBA</v>
      </c>
      <c r="B5">
        <f t="shared" ca="1" si="1"/>
        <v>1</v>
      </c>
      <c r="C5">
        <f ca="1">Location.csv!C5</f>
        <v>3</v>
      </c>
      <c r="D5" t="str">
        <f>Location.csv!E5</f>
        <v>Best Products</v>
      </c>
      <c r="E5" t="str">
        <f t="shared" si="2"/>
        <v>'2010-10-10</v>
      </c>
      <c r="F5" t="s">
        <v>13</v>
      </c>
      <c r="G5">
        <f t="shared" ca="1" si="3"/>
        <v>1</v>
      </c>
    </row>
    <row r="6" spans="1:7" x14ac:dyDescent="0.3">
      <c r="A6" t="str">
        <f t="shared" ca="1" si="0"/>
        <v>-</v>
      </c>
      <c r="B6">
        <f t="shared" ca="1" si="1"/>
        <v>1</v>
      </c>
      <c r="C6">
        <f ca="1">Location.csv!C6</f>
        <v>4</v>
      </c>
      <c r="D6" t="str">
        <f>Location.csv!E6</f>
        <v>McDuff</v>
      </c>
      <c r="E6" t="str">
        <f t="shared" si="2"/>
        <v>'2010-10-10</v>
      </c>
      <c r="F6" t="s">
        <v>13</v>
      </c>
      <c r="G6">
        <f t="shared" ca="1" si="3"/>
        <v>1</v>
      </c>
    </row>
    <row r="7" spans="1:7" x14ac:dyDescent="0.3">
      <c r="A7" t="str">
        <f t="shared" ca="1" si="0"/>
        <v>-</v>
      </c>
      <c r="B7">
        <f t="shared" ca="1" si="1"/>
        <v>1</v>
      </c>
      <c r="C7">
        <f ca="1">Location.csv!C7</f>
        <v>5</v>
      </c>
      <c r="D7" t="str">
        <f>Location.csv!E7</f>
        <v>Muirhead's</v>
      </c>
      <c r="E7" t="str">
        <f t="shared" si="2"/>
        <v>'2010-10-10</v>
      </c>
      <c r="F7" t="s">
        <v>13</v>
      </c>
      <c r="G7">
        <f t="shared" ca="1" si="3"/>
        <v>1</v>
      </c>
    </row>
    <row r="8" spans="1:7" x14ac:dyDescent="0.3">
      <c r="A8" t="str">
        <f t="shared" ca="1" si="0"/>
        <v>-</v>
      </c>
      <c r="B8">
        <f t="shared" ca="1" si="1"/>
        <v>1</v>
      </c>
      <c r="C8">
        <f ca="1">Location.csv!C8</f>
        <v>6</v>
      </c>
      <c r="D8" t="str">
        <f>Location.csv!E8</f>
        <v>Jeans Unlimited</v>
      </c>
      <c r="E8" t="str">
        <f t="shared" si="2"/>
        <v>'2010-10-10</v>
      </c>
      <c r="F8" t="s">
        <v>13</v>
      </c>
      <c r="G8">
        <f t="shared" ca="1" si="3"/>
        <v>1</v>
      </c>
    </row>
    <row r="9" spans="1:7" x14ac:dyDescent="0.3">
      <c r="A9" t="str">
        <f t="shared" ca="1" si="0"/>
        <v>VODBA</v>
      </c>
      <c r="B9">
        <f t="shared" ca="1" si="1"/>
        <v>2</v>
      </c>
      <c r="C9">
        <f ca="1">Location.csv!C9</f>
        <v>6</v>
      </c>
      <c r="D9" t="str">
        <f>Location.csv!E9</f>
        <v>Museum Company</v>
      </c>
      <c r="E9" t="str">
        <f t="shared" si="2"/>
        <v>'2010-10-10</v>
      </c>
      <c r="F9" t="s">
        <v>13</v>
      </c>
      <c r="G9">
        <f t="shared" ca="1" si="3"/>
        <v>2</v>
      </c>
    </row>
    <row r="10" spans="1:7" x14ac:dyDescent="0.3">
      <c r="A10" t="str">
        <f t="shared" ca="1" si="0"/>
        <v>VODBA</v>
      </c>
      <c r="B10">
        <f t="shared" ca="1" si="1"/>
        <v>3</v>
      </c>
      <c r="C10">
        <f ca="1">Location.csv!C10</f>
        <v>6</v>
      </c>
      <c r="D10" t="str">
        <f>Location.csv!E10</f>
        <v>Henry's Hamburgers</v>
      </c>
      <c r="E10" t="str">
        <f t="shared" si="2"/>
        <v>'2010-10-10</v>
      </c>
      <c r="F10" t="s">
        <v>13</v>
      </c>
      <c r="G10">
        <f t="shared" ca="1" si="3"/>
        <v>3</v>
      </c>
    </row>
    <row r="11" spans="1:7" x14ac:dyDescent="0.3">
      <c r="A11" t="str">
        <f t="shared" ca="1" si="0"/>
        <v>-</v>
      </c>
      <c r="B11">
        <f t="shared" ca="1" si="1"/>
        <v>3</v>
      </c>
      <c r="C11">
        <f ca="1">Location.csv!C11</f>
        <v>7</v>
      </c>
      <c r="D11" t="str">
        <f>Location.csv!E11</f>
        <v>Body Toning</v>
      </c>
      <c r="E11" t="str">
        <f t="shared" si="2"/>
        <v>'2010-10-10</v>
      </c>
      <c r="F11" t="s">
        <v>13</v>
      </c>
      <c r="G11">
        <f t="shared" ca="1" si="3"/>
        <v>3</v>
      </c>
    </row>
    <row r="12" spans="1:7" x14ac:dyDescent="0.3">
      <c r="A12" t="str">
        <f t="shared" ca="1" si="0"/>
        <v>VODBA</v>
      </c>
      <c r="B12">
        <f t="shared" ca="1" si="1"/>
        <v>4</v>
      </c>
      <c r="C12">
        <f ca="1">Location.csv!C12</f>
        <v>7</v>
      </c>
      <c r="D12" t="str">
        <f>Location.csv!E12</f>
        <v>Wells &amp; Wade</v>
      </c>
      <c r="E12" t="str">
        <f t="shared" si="2"/>
        <v>'2010-10-10</v>
      </c>
      <c r="F12" t="s">
        <v>13</v>
      </c>
      <c r="G12">
        <f t="shared" ca="1" si="3"/>
        <v>4</v>
      </c>
    </row>
    <row r="13" spans="1:7" x14ac:dyDescent="0.3">
      <c r="A13" t="str">
        <f t="shared" ca="1" si="0"/>
        <v>-</v>
      </c>
      <c r="B13">
        <f t="shared" ca="1" si="1"/>
        <v>4</v>
      </c>
      <c r="C13">
        <f ca="1">Location.csv!C13</f>
        <v>8</v>
      </c>
      <c r="D13" t="str">
        <f>Location.csv!E13</f>
        <v>Brendle's</v>
      </c>
      <c r="E13" t="str">
        <f t="shared" si="2"/>
        <v>'2010-10-10</v>
      </c>
      <c r="F13" t="s">
        <v>13</v>
      </c>
      <c r="G13">
        <f t="shared" ca="1" si="3"/>
        <v>4</v>
      </c>
    </row>
    <row r="14" spans="1:7" x14ac:dyDescent="0.3">
      <c r="A14" t="str">
        <f t="shared" ca="1" si="0"/>
        <v>VODBA</v>
      </c>
      <c r="B14">
        <f t="shared" ca="1" si="1"/>
        <v>5</v>
      </c>
      <c r="C14">
        <f ca="1">Location.csv!C14</f>
        <v>8</v>
      </c>
      <c r="D14" t="str">
        <f>Location.csv!E14</f>
        <v>Britling Cafeterias</v>
      </c>
      <c r="E14" t="str">
        <f t="shared" si="2"/>
        <v>'2010-10-10</v>
      </c>
      <c r="F14" t="s">
        <v>13</v>
      </c>
      <c r="G14">
        <f t="shared" ca="1" si="3"/>
        <v>5</v>
      </c>
    </row>
    <row r="15" spans="1:7" x14ac:dyDescent="0.3">
      <c r="A15" t="str">
        <f t="shared" ca="1" si="0"/>
        <v>-</v>
      </c>
      <c r="B15">
        <f t="shared" ca="1" si="1"/>
        <v>5</v>
      </c>
      <c r="C15">
        <f ca="1">Location.csv!C15</f>
        <v>9</v>
      </c>
      <c r="D15" t="str">
        <f>Location.csv!E15</f>
        <v>Harold's</v>
      </c>
      <c r="E15" t="str">
        <f t="shared" si="2"/>
        <v>'2010-10-10</v>
      </c>
      <c r="F15" t="s">
        <v>13</v>
      </c>
      <c r="G15">
        <f t="shared" ca="1" si="3"/>
        <v>5</v>
      </c>
    </row>
    <row r="16" spans="1:7" x14ac:dyDescent="0.3">
      <c r="A16" t="str">
        <f t="shared" ca="1" si="0"/>
        <v>VODBA</v>
      </c>
      <c r="B16">
        <f t="shared" ca="1" si="1"/>
        <v>6</v>
      </c>
      <c r="C16">
        <f ca="1">Location.csv!C16</f>
        <v>9</v>
      </c>
      <c r="D16" t="str">
        <f>Location.csv!E16</f>
        <v>Record World</v>
      </c>
      <c r="E16" t="str">
        <f t="shared" si="2"/>
        <v>'2010-10-10</v>
      </c>
      <c r="F16" t="s">
        <v>13</v>
      </c>
      <c r="G16">
        <f t="shared" ca="1" si="3"/>
        <v>6</v>
      </c>
    </row>
    <row r="17" spans="1:7" x14ac:dyDescent="0.3">
      <c r="A17" t="str">
        <f t="shared" ca="1" si="0"/>
        <v>VODBA</v>
      </c>
      <c r="B17">
        <f t="shared" ca="1" si="1"/>
        <v>7</v>
      </c>
      <c r="C17">
        <f ca="1">Location.csv!C17</f>
        <v>9</v>
      </c>
      <c r="D17" t="str">
        <f>Location.csv!E17</f>
        <v xml:space="preserve">The Fox and Hound </v>
      </c>
      <c r="E17" t="str">
        <f t="shared" si="2"/>
        <v>'2010-10-10</v>
      </c>
      <c r="F17" t="s">
        <v>13</v>
      </c>
      <c r="G17">
        <f t="shared" ca="1" si="3"/>
        <v>7</v>
      </c>
    </row>
    <row r="18" spans="1:7" x14ac:dyDescent="0.3">
      <c r="A18" t="str">
        <f t="shared" ca="1" si="0"/>
        <v>VODBA</v>
      </c>
      <c r="B18">
        <f t="shared" ca="1" si="1"/>
        <v>8</v>
      </c>
      <c r="C18">
        <f ca="1">Location.csv!C18</f>
        <v>9</v>
      </c>
      <c r="D18" t="str">
        <f>Location.csv!E18</f>
        <v>Edwards</v>
      </c>
      <c r="E18" t="str">
        <f t="shared" si="2"/>
        <v>'2010-10-10</v>
      </c>
      <c r="F18" t="s">
        <v>13</v>
      </c>
      <c r="G18">
        <f t="shared" ca="1" si="3"/>
        <v>8</v>
      </c>
    </row>
    <row r="19" spans="1:7" x14ac:dyDescent="0.3">
      <c r="A19" t="str">
        <f t="shared" ca="1" si="0"/>
        <v>-</v>
      </c>
      <c r="B19">
        <f t="shared" ca="1" si="1"/>
        <v>8</v>
      </c>
      <c r="C19">
        <f ca="1">Location.csv!C19</f>
        <v>10</v>
      </c>
      <c r="D19" t="str">
        <f>Location.csv!E19</f>
        <v>Grass Roots Yard Services</v>
      </c>
      <c r="E19" t="str">
        <f t="shared" si="2"/>
        <v>'2010-10-10</v>
      </c>
      <c r="F19" t="s">
        <v>13</v>
      </c>
      <c r="G19">
        <f t="shared" ca="1" si="3"/>
        <v>8</v>
      </c>
    </row>
    <row r="20" spans="1:7" x14ac:dyDescent="0.3">
      <c r="A20" t="str">
        <f t="shared" ca="1" si="0"/>
        <v>VODBA</v>
      </c>
      <c r="B20">
        <f t="shared" ca="1" si="1"/>
        <v>9</v>
      </c>
      <c r="C20">
        <f ca="1">Location.csv!C20</f>
        <v>10</v>
      </c>
      <c r="D20" t="str">
        <f>Location.csv!E20</f>
        <v>Pantry Food Stores</v>
      </c>
      <c r="E20" t="str">
        <f t="shared" si="2"/>
        <v>'2010-10-10</v>
      </c>
      <c r="F20" t="s">
        <v>13</v>
      </c>
      <c r="G20">
        <f t="shared" ca="1" si="3"/>
        <v>9</v>
      </c>
    </row>
    <row r="21" spans="1:7" x14ac:dyDescent="0.3">
      <c r="A21" t="str">
        <f t="shared" ca="1" si="0"/>
        <v>VODBA</v>
      </c>
      <c r="B21">
        <f t="shared" ca="1" si="1"/>
        <v>10</v>
      </c>
      <c r="C21">
        <f ca="1">Location.csv!C21</f>
        <v>10</v>
      </c>
      <c r="D21" t="str">
        <f>Location.csv!E21</f>
        <v>Magik Grey</v>
      </c>
      <c r="E21" t="str">
        <f t="shared" si="2"/>
        <v>'2010-10-10</v>
      </c>
      <c r="F21" t="s">
        <v>13</v>
      </c>
      <c r="G21">
        <f t="shared" ca="1" si="3"/>
        <v>10</v>
      </c>
    </row>
    <row r="22" spans="1:7" x14ac:dyDescent="0.3">
      <c r="A22" t="str">
        <f t="shared" ca="1" si="0"/>
        <v>-</v>
      </c>
      <c r="B22">
        <f t="shared" ca="1" si="1"/>
        <v>10</v>
      </c>
      <c r="C22">
        <f ca="1">Location.csv!C22</f>
        <v>11</v>
      </c>
      <c r="D22" t="str">
        <f>Location.csv!E22</f>
        <v>Pantry Pride</v>
      </c>
      <c r="E22" t="str">
        <f t="shared" si="2"/>
        <v>'2010-10-10</v>
      </c>
      <c r="F22" t="s">
        <v>13</v>
      </c>
      <c r="G22">
        <f t="shared" ca="1" si="3"/>
        <v>10</v>
      </c>
    </row>
    <row r="23" spans="1:7" x14ac:dyDescent="0.3">
      <c r="A23" t="str">
        <f t="shared" ca="1" si="0"/>
        <v>VODBA</v>
      </c>
      <c r="B23">
        <f t="shared" ca="1" si="1"/>
        <v>11</v>
      </c>
      <c r="C23">
        <f ca="1">Location.csv!C23</f>
        <v>11</v>
      </c>
      <c r="D23" t="str">
        <f>Location.csv!E23</f>
        <v>Sandy's</v>
      </c>
      <c r="E23" t="str">
        <f t="shared" si="2"/>
        <v>'2010-10-10</v>
      </c>
      <c r="F23" t="s">
        <v>13</v>
      </c>
      <c r="G23">
        <f t="shared" ca="1" si="3"/>
        <v>11</v>
      </c>
    </row>
    <row r="24" spans="1:7" x14ac:dyDescent="0.3">
      <c r="A24" t="str">
        <f t="shared" ca="1" si="0"/>
        <v>VODBA</v>
      </c>
      <c r="B24">
        <f t="shared" ca="1" si="1"/>
        <v>12</v>
      </c>
      <c r="C24">
        <f ca="1">Location.csv!C24</f>
        <v>11</v>
      </c>
      <c r="D24" t="str">
        <f>Location.csv!E24</f>
        <v>Earthworks Garden Kare</v>
      </c>
      <c r="E24" t="str">
        <f t="shared" si="2"/>
        <v>'2010-10-10</v>
      </c>
      <c r="F24" t="s">
        <v>13</v>
      </c>
      <c r="G24">
        <f t="shared" ca="1" si="3"/>
        <v>12</v>
      </c>
    </row>
    <row r="25" spans="1:7" x14ac:dyDescent="0.3">
      <c r="A25" t="str">
        <f t="shared" ca="1" si="0"/>
        <v>VODBA</v>
      </c>
      <c r="B25">
        <f t="shared" ca="1" si="1"/>
        <v>13</v>
      </c>
      <c r="C25">
        <f ca="1">Location.csv!C25</f>
        <v>11</v>
      </c>
      <c r="D25" t="str">
        <f>Location.csv!E25</f>
        <v>Gamma Gas</v>
      </c>
      <c r="E25" t="str">
        <f t="shared" si="2"/>
        <v>'2010-10-10</v>
      </c>
      <c r="F25" t="s">
        <v>13</v>
      </c>
      <c r="G25">
        <f t="shared" ca="1" si="3"/>
        <v>13</v>
      </c>
    </row>
    <row r="26" spans="1:7" x14ac:dyDescent="0.3">
      <c r="A26" t="str">
        <f t="shared" ca="1" si="0"/>
        <v>VODBA</v>
      </c>
      <c r="B26">
        <f t="shared" ca="1" si="1"/>
        <v>14</v>
      </c>
      <c r="C26">
        <f ca="1">Location.csv!C26</f>
        <v>11</v>
      </c>
      <c r="D26" t="str">
        <f>Location.csv!E26</f>
        <v>Universo Realtors</v>
      </c>
      <c r="E26" t="str">
        <f t="shared" si="2"/>
        <v>'2010-10-10</v>
      </c>
      <c r="F26" t="s">
        <v>13</v>
      </c>
      <c r="G26">
        <f t="shared" ca="1" si="3"/>
        <v>14</v>
      </c>
    </row>
    <row r="27" spans="1:7" x14ac:dyDescent="0.3">
      <c r="A27" t="str">
        <f t="shared" ca="1" si="0"/>
        <v>VODBA</v>
      </c>
      <c r="B27">
        <f t="shared" ca="1" si="1"/>
        <v>15</v>
      </c>
      <c r="C27">
        <f ca="1">Location.csv!C27</f>
        <v>11</v>
      </c>
      <c r="D27" t="str">
        <f>Location.csv!E27</f>
        <v>Gas Depot</v>
      </c>
      <c r="E27" t="str">
        <f t="shared" si="2"/>
        <v>'2010-10-10</v>
      </c>
      <c r="F27" t="s">
        <v>13</v>
      </c>
      <c r="G27">
        <f t="shared" ca="1" si="3"/>
        <v>15</v>
      </c>
    </row>
    <row r="28" spans="1:7" x14ac:dyDescent="0.3">
      <c r="A28" t="str">
        <f t="shared" ca="1" si="0"/>
        <v>VODBA</v>
      </c>
      <c r="B28">
        <f t="shared" ca="1" si="1"/>
        <v>16</v>
      </c>
      <c r="C28">
        <f ca="1">Location.csv!C28</f>
        <v>11</v>
      </c>
      <c r="D28" t="str">
        <f>Location.csv!E28</f>
        <v>Service Merchandise</v>
      </c>
      <c r="E28" t="str">
        <f t="shared" si="2"/>
        <v>'2010-10-10</v>
      </c>
      <c r="F28" t="s">
        <v>13</v>
      </c>
      <c r="G28">
        <f t="shared" ca="1" si="3"/>
        <v>16</v>
      </c>
    </row>
    <row r="29" spans="1:7" x14ac:dyDescent="0.3">
      <c r="A29" t="str">
        <f t="shared" ca="1" si="0"/>
        <v>VODBA</v>
      </c>
      <c r="B29">
        <f t="shared" ca="1" si="1"/>
        <v>17</v>
      </c>
      <c r="C29">
        <f ca="1">Location.csv!C29</f>
        <v>11</v>
      </c>
      <c r="D29" t="str">
        <f>Location.csv!E29</f>
        <v>Lionel Playworld</v>
      </c>
      <c r="E29" t="str">
        <f t="shared" si="2"/>
        <v>'2010-10-10</v>
      </c>
      <c r="F29" t="s">
        <v>13</v>
      </c>
      <c r="G29">
        <f t="shared" ca="1" si="3"/>
        <v>17</v>
      </c>
    </row>
    <row r="30" spans="1:7" x14ac:dyDescent="0.3">
      <c r="A30" t="str">
        <f t="shared" ca="1" si="0"/>
        <v>-</v>
      </c>
      <c r="B30">
        <f t="shared" ca="1" si="1"/>
        <v>17</v>
      </c>
      <c r="C30">
        <f ca="1">Location.csv!C30</f>
        <v>12</v>
      </c>
      <c r="D30" t="str">
        <f>Location.csv!E30</f>
        <v>Success Is Yours</v>
      </c>
      <c r="E30" t="str">
        <f t="shared" si="2"/>
        <v>'2010-10-10</v>
      </c>
      <c r="F30" t="s">
        <v>13</v>
      </c>
      <c r="G30">
        <f t="shared" ca="1" si="3"/>
        <v>17</v>
      </c>
    </row>
    <row r="31" spans="1:7" x14ac:dyDescent="0.3">
      <c r="A31" t="str">
        <f t="shared" ca="1" si="0"/>
        <v>-</v>
      </c>
      <c r="B31">
        <f t="shared" ca="1" si="1"/>
        <v>17</v>
      </c>
      <c r="C31">
        <f ca="1">Location.csv!C31</f>
        <v>13</v>
      </c>
      <c r="D31" t="str">
        <f>Location.csv!E31</f>
        <v>Stratacard</v>
      </c>
      <c r="E31" t="str">
        <f t="shared" si="2"/>
        <v>'2010-10-10</v>
      </c>
      <c r="F31" t="s">
        <v>13</v>
      </c>
      <c r="G31">
        <f t="shared" ca="1" si="3"/>
        <v>17</v>
      </c>
    </row>
    <row r="32" spans="1:7" x14ac:dyDescent="0.3">
      <c r="A32" t="str">
        <f t="shared" ca="1" si="0"/>
        <v>VODBA</v>
      </c>
      <c r="B32">
        <f t="shared" ca="1" si="1"/>
        <v>18</v>
      </c>
      <c r="C32">
        <f ca="1">Location.csv!C32</f>
        <v>13</v>
      </c>
      <c r="D32" t="str">
        <f>Location.csv!E32</f>
        <v>J. Brannam</v>
      </c>
      <c r="E32" t="str">
        <f t="shared" si="2"/>
        <v>'2010-10-10</v>
      </c>
      <c r="F32" t="s">
        <v>13</v>
      </c>
      <c r="G32">
        <f t="shared" ca="1" si="3"/>
        <v>18</v>
      </c>
    </row>
    <row r="33" spans="1:7" x14ac:dyDescent="0.3">
      <c r="A33" t="str">
        <f t="shared" ca="1" si="0"/>
        <v>VODBA</v>
      </c>
      <c r="B33">
        <f t="shared" ca="1" si="1"/>
        <v>19</v>
      </c>
      <c r="C33">
        <f ca="1">Location.csv!C33</f>
        <v>13</v>
      </c>
      <c r="D33" t="str">
        <f>Location.csv!E33</f>
        <v>Happy Family</v>
      </c>
      <c r="E33" t="str">
        <f t="shared" si="2"/>
        <v>'2010-10-10</v>
      </c>
      <c r="F33" t="s">
        <v>13</v>
      </c>
      <c r="G33">
        <f t="shared" ca="1" si="3"/>
        <v>19</v>
      </c>
    </row>
    <row r="34" spans="1:7" x14ac:dyDescent="0.3">
      <c r="A34" t="str">
        <f ca="1">IF(AND(C34=C33,C34 &lt;&gt; 0),"VODBA","-")</f>
        <v>-</v>
      </c>
      <c r="B34">
        <f t="shared" ca="1" si="1"/>
        <v>19</v>
      </c>
      <c r="C34">
        <f>Location.csv!C34</f>
        <v>0</v>
      </c>
      <c r="D34">
        <f>Location.csv!E34</f>
        <v>0</v>
      </c>
      <c r="E34" t="str">
        <f t="shared" si="2"/>
        <v>'2010-10-10</v>
      </c>
      <c r="F34" t="s">
        <v>13</v>
      </c>
      <c r="G34">
        <f t="shared" ca="1" si="3"/>
        <v>19</v>
      </c>
    </row>
    <row r="35" spans="1:7" x14ac:dyDescent="0.3">
      <c r="A35" t="str">
        <f t="shared" ref="A35:A37" si="4">IF(AND(C35=C34,C35 &lt;&gt; 0),"VODBA","-")</f>
        <v>-</v>
      </c>
      <c r="B35">
        <f t="shared" ca="1" si="1"/>
        <v>19</v>
      </c>
      <c r="C35">
        <f>Location.csv!C35</f>
        <v>0</v>
      </c>
      <c r="D35">
        <f>Location.csv!E35</f>
        <v>0</v>
      </c>
      <c r="E35" t="str">
        <f t="shared" si="2"/>
        <v>'2010-10-10</v>
      </c>
      <c r="F35" t="s">
        <v>13</v>
      </c>
      <c r="G35">
        <f t="shared" ca="1" si="3"/>
        <v>19</v>
      </c>
    </row>
    <row r="36" spans="1:7" x14ac:dyDescent="0.3">
      <c r="A36" t="str">
        <f t="shared" si="4"/>
        <v>-</v>
      </c>
      <c r="B36">
        <f t="shared" ca="1" si="1"/>
        <v>19</v>
      </c>
      <c r="C36">
        <f>Location.csv!C36</f>
        <v>0</v>
      </c>
      <c r="D36">
        <f>Location.csv!E36</f>
        <v>0</v>
      </c>
      <c r="E36" t="str">
        <f t="shared" si="2"/>
        <v>'2010-10-10</v>
      </c>
      <c r="F36" t="s">
        <v>13</v>
      </c>
      <c r="G36">
        <f t="shared" ca="1" si="3"/>
        <v>19</v>
      </c>
    </row>
    <row r="37" spans="1:7" x14ac:dyDescent="0.3">
      <c r="A37" t="str">
        <f t="shared" si="4"/>
        <v>-</v>
      </c>
      <c r="B37">
        <f t="shared" ca="1" si="1"/>
        <v>19</v>
      </c>
      <c r="C37">
        <f>Location.csv!C37</f>
        <v>0</v>
      </c>
      <c r="D37">
        <f>Location.csv!E37</f>
        <v>0</v>
      </c>
      <c r="E37" t="str">
        <f t="shared" si="2"/>
        <v>'2010-10-10</v>
      </c>
      <c r="F37" t="s">
        <v>13</v>
      </c>
      <c r="G37">
        <f t="shared" ca="1" si="3"/>
        <v>19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68A14-C95A-4DC5-AC0F-80D748AD4B4E}">
  <dimension ref="A1:G3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8" bestFit="1" customWidth="1"/>
    <col min="2" max="2" width="3" bestFit="1" customWidth="1"/>
    <col min="3" max="3" width="15.44140625" customWidth="1"/>
    <col min="4" max="4" width="12" bestFit="1" customWidth="1"/>
    <col min="5" max="5" width="22.44140625" bestFit="1" customWidth="1"/>
    <col min="6" max="6" width="22.44140625" customWidth="1"/>
    <col min="7" max="7" width="3.332031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2511</v>
      </c>
      <c r="D1" s="2" t="s">
        <v>2502</v>
      </c>
      <c r="E1" s="2" t="s">
        <v>2503</v>
      </c>
      <c r="F1" s="2" t="s">
        <v>2504</v>
      </c>
      <c r="G1" s="2" t="s">
        <v>2425</v>
      </c>
    </row>
    <row r="2" spans="1:7" x14ac:dyDescent="0.3">
      <c r="A2" t="str">
        <f ca="1">IF(AND(D2=D1,D2 &lt;&gt; 0),"LOCORG","-")</f>
        <v>-</v>
      </c>
      <c r="B2">
        <f ca="1">IF(A2="-",IF(ISNUMBER(B1),B1,0),B1+1)</f>
        <v>0</v>
      </c>
      <c r="C2">
        <f>IFERROR(VLOOKUP(E2,Location.csv!E:O,11,FALSE),"-")</f>
        <v>1</v>
      </c>
      <c r="D2">
        <f ca="1">Location.csv!C2</f>
        <v>1</v>
      </c>
      <c r="E2" t="str">
        <f>Location.csv!E2</f>
        <v>The Original House of Pies</v>
      </c>
      <c r="F2">
        <f ca="1">VLOOKUP(E2,DoingBusinessAs.csv!D:G,4,FALSE)</f>
        <v>0</v>
      </c>
      <c r="G2">
        <f ca="1">B2</f>
        <v>0</v>
      </c>
    </row>
    <row r="3" spans="1:7" x14ac:dyDescent="0.3">
      <c r="A3" t="str">
        <f t="shared" ref="A3:A37" ca="1" si="0">IF(AND(D3=D2,D3 &lt;&gt; 0),"LOCORG","-")</f>
        <v>-</v>
      </c>
      <c r="B3">
        <f t="shared" ref="B3:B37" ca="1" si="1">IF(A3="-",IF(ISNUMBER(B2),B2,0),B2+1)</f>
        <v>0</v>
      </c>
      <c r="C3">
        <f>IFERROR(VLOOKUP(E3,Location.csv!E:O,11,FALSE),"-")</f>
        <v>2</v>
      </c>
      <c r="D3">
        <f ca="1">Location.csv!C3</f>
        <v>2</v>
      </c>
      <c r="E3" t="str">
        <f>Location.csv!E3</f>
        <v>Asian Junction</v>
      </c>
      <c r="F3">
        <f ca="1">VLOOKUP(E3,DoingBusinessAs.csv!D:G,4,FALSE)</f>
        <v>0</v>
      </c>
      <c r="G3">
        <f t="shared" ref="G3:G37" ca="1" si="2">B3</f>
        <v>0</v>
      </c>
    </row>
    <row r="4" spans="1:7" x14ac:dyDescent="0.3">
      <c r="A4" t="str">
        <f t="shared" ca="1" si="0"/>
        <v>-</v>
      </c>
      <c r="B4">
        <f t="shared" ca="1" si="1"/>
        <v>0</v>
      </c>
      <c r="C4">
        <f>IFERROR(VLOOKUP(E4,Location.csv!E:O,11,FALSE),"-")</f>
        <v>3</v>
      </c>
      <c r="D4">
        <f ca="1">Location.csv!C4</f>
        <v>3</v>
      </c>
      <c r="E4" t="str">
        <f>Location.csv!E4</f>
        <v>Price Savers</v>
      </c>
      <c r="F4">
        <f ca="1">VLOOKUP(E4,DoingBusinessAs.csv!D:G,4,FALSE)</f>
        <v>0</v>
      </c>
      <c r="G4">
        <f t="shared" ca="1" si="2"/>
        <v>0</v>
      </c>
    </row>
    <row r="5" spans="1:7" x14ac:dyDescent="0.3">
      <c r="A5" t="str">
        <f t="shared" ca="1" si="0"/>
        <v>LOCORG</v>
      </c>
      <c r="B5">
        <f t="shared" ca="1" si="1"/>
        <v>1</v>
      </c>
      <c r="C5">
        <f>IFERROR(VLOOKUP(E5,Location.csv!E:O,11,FALSE),"-")</f>
        <v>4</v>
      </c>
      <c r="D5">
        <f ca="1">Location.csv!C5</f>
        <v>3</v>
      </c>
      <c r="E5" t="str">
        <f>Location.csv!E5</f>
        <v>Best Products</v>
      </c>
      <c r="F5">
        <f ca="1">VLOOKUP(E5,DoingBusinessAs.csv!D:G,4,FALSE)</f>
        <v>1</v>
      </c>
      <c r="G5">
        <f t="shared" ca="1" si="2"/>
        <v>1</v>
      </c>
    </row>
    <row r="6" spans="1:7" x14ac:dyDescent="0.3">
      <c r="A6" t="str">
        <f t="shared" ca="1" si="0"/>
        <v>-</v>
      </c>
      <c r="B6">
        <f t="shared" ca="1" si="1"/>
        <v>1</v>
      </c>
      <c r="C6">
        <f>IFERROR(VLOOKUP(E6,Location.csv!E:O,11,FALSE),"-")</f>
        <v>5</v>
      </c>
      <c r="D6">
        <f ca="1">Location.csv!C6</f>
        <v>4</v>
      </c>
      <c r="E6" t="str">
        <f>Location.csv!E6</f>
        <v>McDuff</v>
      </c>
      <c r="F6">
        <f ca="1">VLOOKUP(E6,DoingBusinessAs.csv!D:G,4,FALSE)</f>
        <v>1</v>
      </c>
      <c r="G6">
        <f t="shared" ca="1" si="2"/>
        <v>1</v>
      </c>
    </row>
    <row r="7" spans="1:7" x14ac:dyDescent="0.3">
      <c r="A7" t="str">
        <f t="shared" ca="1" si="0"/>
        <v>-</v>
      </c>
      <c r="B7">
        <f t="shared" ca="1" si="1"/>
        <v>1</v>
      </c>
      <c r="C7">
        <f>IFERROR(VLOOKUP(E7,Location.csv!E:O,11,FALSE),"-")</f>
        <v>6</v>
      </c>
      <c r="D7">
        <f ca="1">Location.csv!C7</f>
        <v>5</v>
      </c>
      <c r="E7" t="str">
        <f>Location.csv!E7</f>
        <v>Muirhead's</v>
      </c>
      <c r="F7">
        <f ca="1">VLOOKUP(E7,DoingBusinessAs.csv!D:G,4,FALSE)</f>
        <v>1</v>
      </c>
      <c r="G7">
        <f t="shared" ca="1" si="2"/>
        <v>1</v>
      </c>
    </row>
    <row r="8" spans="1:7" x14ac:dyDescent="0.3">
      <c r="A8" t="str">
        <f t="shared" ca="1" si="0"/>
        <v>-</v>
      </c>
      <c r="B8">
        <f t="shared" ca="1" si="1"/>
        <v>1</v>
      </c>
      <c r="C8">
        <f>IFERROR(VLOOKUP(E8,Location.csv!E:O,11,FALSE),"-")</f>
        <v>7</v>
      </c>
      <c r="D8">
        <f ca="1">Location.csv!C8</f>
        <v>6</v>
      </c>
      <c r="E8" t="str">
        <f>Location.csv!E8</f>
        <v>Jeans Unlimited</v>
      </c>
      <c r="F8">
        <f ca="1">VLOOKUP(E8,DoingBusinessAs.csv!D:G,4,FALSE)</f>
        <v>1</v>
      </c>
      <c r="G8">
        <f t="shared" ca="1" si="2"/>
        <v>1</v>
      </c>
    </row>
    <row r="9" spans="1:7" x14ac:dyDescent="0.3">
      <c r="A9" t="str">
        <f t="shared" ca="1" si="0"/>
        <v>LOCORG</v>
      </c>
      <c r="B9">
        <f t="shared" ca="1" si="1"/>
        <v>2</v>
      </c>
      <c r="C9">
        <f>IFERROR(VLOOKUP(E9,Location.csv!E:O,11,FALSE),"-")</f>
        <v>8</v>
      </c>
      <c r="D9">
        <f ca="1">Location.csv!C9</f>
        <v>6</v>
      </c>
      <c r="E9" t="str">
        <f>Location.csv!E9</f>
        <v>Museum Company</v>
      </c>
      <c r="F9">
        <f ca="1">VLOOKUP(E9,DoingBusinessAs.csv!D:G,4,FALSE)</f>
        <v>2</v>
      </c>
      <c r="G9">
        <f t="shared" ca="1" si="2"/>
        <v>2</v>
      </c>
    </row>
    <row r="10" spans="1:7" x14ac:dyDescent="0.3">
      <c r="A10" t="str">
        <f t="shared" ca="1" si="0"/>
        <v>LOCORG</v>
      </c>
      <c r="B10">
        <f t="shared" ca="1" si="1"/>
        <v>3</v>
      </c>
      <c r="C10">
        <f>IFERROR(VLOOKUP(E10,Location.csv!E:O,11,FALSE),"-")</f>
        <v>9</v>
      </c>
      <c r="D10">
        <f ca="1">Location.csv!C10</f>
        <v>6</v>
      </c>
      <c r="E10" t="str">
        <f>Location.csv!E10</f>
        <v>Henry's Hamburgers</v>
      </c>
      <c r="F10">
        <f ca="1">VLOOKUP(E10,DoingBusinessAs.csv!D:G,4,FALSE)</f>
        <v>3</v>
      </c>
      <c r="G10">
        <f t="shared" ca="1" si="2"/>
        <v>3</v>
      </c>
    </row>
    <row r="11" spans="1:7" x14ac:dyDescent="0.3">
      <c r="A11" t="str">
        <f t="shared" ca="1" si="0"/>
        <v>-</v>
      </c>
      <c r="B11">
        <f t="shared" ca="1" si="1"/>
        <v>3</v>
      </c>
      <c r="C11">
        <f>IFERROR(VLOOKUP(E11,Location.csv!E:O,11,FALSE),"-")</f>
        <v>10</v>
      </c>
      <c r="D11">
        <f ca="1">Location.csv!C11</f>
        <v>7</v>
      </c>
      <c r="E11" t="str">
        <f>Location.csv!E11</f>
        <v>Body Toning</v>
      </c>
      <c r="F11">
        <f ca="1">VLOOKUP(E11,DoingBusinessAs.csv!D:G,4,FALSE)</f>
        <v>3</v>
      </c>
      <c r="G11">
        <f t="shared" ca="1" si="2"/>
        <v>3</v>
      </c>
    </row>
    <row r="12" spans="1:7" x14ac:dyDescent="0.3">
      <c r="A12" t="str">
        <f t="shared" ca="1" si="0"/>
        <v>LOCORG</v>
      </c>
      <c r="B12">
        <f t="shared" ca="1" si="1"/>
        <v>4</v>
      </c>
      <c r="C12">
        <f>IFERROR(VLOOKUP(E12,Location.csv!E:O,11,FALSE),"-")</f>
        <v>11</v>
      </c>
      <c r="D12">
        <f ca="1">Location.csv!C12</f>
        <v>7</v>
      </c>
      <c r="E12" t="str">
        <f>Location.csv!E12</f>
        <v>Wells &amp; Wade</v>
      </c>
      <c r="F12">
        <f ca="1">VLOOKUP(E12,DoingBusinessAs.csv!D:G,4,FALSE)</f>
        <v>4</v>
      </c>
      <c r="G12">
        <f t="shared" ca="1" si="2"/>
        <v>4</v>
      </c>
    </row>
    <row r="13" spans="1:7" x14ac:dyDescent="0.3">
      <c r="A13" t="str">
        <f t="shared" ca="1" si="0"/>
        <v>-</v>
      </c>
      <c r="B13">
        <f t="shared" ca="1" si="1"/>
        <v>4</v>
      </c>
      <c r="C13">
        <f>IFERROR(VLOOKUP(E13,Location.csv!E:O,11,FALSE),"-")</f>
        <v>12</v>
      </c>
      <c r="D13">
        <f ca="1">Location.csv!C13</f>
        <v>8</v>
      </c>
      <c r="E13" t="str">
        <f>Location.csv!E13</f>
        <v>Brendle's</v>
      </c>
      <c r="F13">
        <f ca="1">VLOOKUP(E13,DoingBusinessAs.csv!D:G,4,FALSE)</f>
        <v>4</v>
      </c>
      <c r="G13">
        <f t="shared" ca="1" si="2"/>
        <v>4</v>
      </c>
    </row>
    <row r="14" spans="1:7" x14ac:dyDescent="0.3">
      <c r="A14" t="str">
        <f t="shared" ca="1" si="0"/>
        <v>LOCORG</v>
      </c>
      <c r="B14">
        <f t="shared" ca="1" si="1"/>
        <v>5</v>
      </c>
      <c r="C14">
        <f>IFERROR(VLOOKUP(E14,Location.csv!E:O,11,FALSE),"-")</f>
        <v>13</v>
      </c>
      <c r="D14">
        <f ca="1">Location.csv!C14</f>
        <v>8</v>
      </c>
      <c r="E14" t="str">
        <f>Location.csv!E14</f>
        <v>Britling Cafeterias</v>
      </c>
      <c r="F14">
        <f ca="1">VLOOKUP(E14,DoingBusinessAs.csv!D:G,4,FALSE)</f>
        <v>5</v>
      </c>
      <c r="G14">
        <f t="shared" ca="1" si="2"/>
        <v>5</v>
      </c>
    </row>
    <row r="15" spans="1:7" x14ac:dyDescent="0.3">
      <c r="A15" t="str">
        <f t="shared" ca="1" si="0"/>
        <v>-</v>
      </c>
      <c r="B15">
        <f t="shared" ca="1" si="1"/>
        <v>5</v>
      </c>
      <c r="C15">
        <f>IFERROR(VLOOKUP(E15,Location.csv!E:O,11,FALSE),"-")</f>
        <v>14</v>
      </c>
      <c r="D15">
        <f ca="1">Location.csv!C15</f>
        <v>9</v>
      </c>
      <c r="E15" t="str">
        <f>Location.csv!E15</f>
        <v>Harold's</v>
      </c>
      <c r="F15">
        <f ca="1">VLOOKUP(E15,DoingBusinessAs.csv!D:G,4,FALSE)</f>
        <v>5</v>
      </c>
      <c r="G15">
        <f t="shared" ca="1" si="2"/>
        <v>5</v>
      </c>
    </row>
    <row r="16" spans="1:7" x14ac:dyDescent="0.3">
      <c r="A16" t="str">
        <f t="shared" ca="1" si="0"/>
        <v>LOCORG</v>
      </c>
      <c r="B16">
        <f t="shared" ca="1" si="1"/>
        <v>6</v>
      </c>
      <c r="C16">
        <f>IFERROR(VLOOKUP(E16,Location.csv!E:O,11,FALSE),"-")</f>
        <v>15</v>
      </c>
      <c r="D16">
        <f ca="1">Location.csv!C16</f>
        <v>9</v>
      </c>
      <c r="E16" t="str">
        <f>Location.csv!E16</f>
        <v>Record World</v>
      </c>
      <c r="F16">
        <f ca="1">VLOOKUP(E16,DoingBusinessAs.csv!D:G,4,FALSE)</f>
        <v>6</v>
      </c>
      <c r="G16">
        <f t="shared" ca="1" si="2"/>
        <v>6</v>
      </c>
    </row>
    <row r="17" spans="1:7" x14ac:dyDescent="0.3">
      <c r="A17" t="str">
        <f t="shared" ca="1" si="0"/>
        <v>LOCORG</v>
      </c>
      <c r="B17">
        <f t="shared" ca="1" si="1"/>
        <v>7</v>
      </c>
      <c r="C17">
        <f>IFERROR(VLOOKUP(E17,Location.csv!E:O,11,FALSE),"-")</f>
        <v>16</v>
      </c>
      <c r="D17">
        <f ca="1">Location.csv!C17</f>
        <v>9</v>
      </c>
      <c r="E17" t="str">
        <f>Location.csv!E17</f>
        <v xml:space="preserve">The Fox and Hound </v>
      </c>
      <c r="F17">
        <f ca="1">VLOOKUP(E17,DoingBusinessAs.csv!D:G,4,FALSE)</f>
        <v>7</v>
      </c>
      <c r="G17">
        <f t="shared" ca="1" si="2"/>
        <v>7</v>
      </c>
    </row>
    <row r="18" spans="1:7" x14ac:dyDescent="0.3">
      <c r="A18" t="str">
        <f t="shared" ca="1" si="0"/>
        <v>LOCORG</v>
      </c>
      <c r="B18">
        <f t="shared" ca="1" si="1"/>
        <v>8</v>
      </c>
      <c r="C18">
        <f>IFERROR(VLOOKUP(E18,Location.csv!E:O,11,FALSE),"-")</f>
        <v>17</v>
      </c>
      <c r="D18">
        <f ca="1">Location.csv!C18</f>
        <v>9</v>
      </c>
      <c r="E18" t="str">
        <f>Location.csv!E18</f>
        <v>Edwards</v>
      </c>
      <c r="F18">
        <f ca="1">VLOOKUP(E18,DoingBusinessAs.csv!D:G,4,FALSE)</f>
        <v>8</v>
      </c>
      <c r="G18">
        <f t="shared" ca="1" si="2"/>
        <v>8</v>
      </c>
    </row>
    <row r="19" spans="1:7" x14ac:dyDescent="0.3">
      <c r="A19" t="str">
        <f t="shared" ca="1" si="0"/>
        <v>-</v>
      </c>
      <c r="B19">
        <f t="shared" ca="1" si="1"/>
        <v>8</v>
      </c>
      <c r="C19">
        <f>IFERROR(VLOOKUP(E19,Location.csv!E:O,11,FALSE),"-")</f>
        <v>18</v>
      </c>
      <c r="D19">
        <f ca="1">Location.csv!C19</f>
        <v>10</v>
      </c>
      <c r="E19" t="str">
        <f>Location.csv!E19</f>
        <v>Grass Roots Yard Services</v>
      </c>
      <c r="F19">
        <f ca="1">VLOOKUP(E19,DoingBusinessAs.csv!D:G,4,FALSE)</f>
        <v>8</v>
      </c>
      <c r="G19">
        <f t="shared" ca="1" si="2"/>
        <v>8</v>
      </c>
    </row>
    <row r="20" spans="1:7" x14ac:dyDescent="0.3">
      <c r="A20" t="str">
        <f t="shared" ca="1" si="0"/>
        <v>LOCORG</v>
      </c>
      <c r="B20">
        <f t="shared" ca="1" si="1"/>
        <v>9</v>
      </c>
      <c r="C20">
        <f>IFERROR(VLOOKUP(E20,Location.csv!E:O,11,FALSE),"-")</f>
        <v>19</v>
      </c>
      <c r="D20">
        <f ca="1">Location.csv!C20</f>
        <v>10</v>
      </c>
      <c r="E20" t="str">
        <f>Location.csv!E20</f>
        <v>Pantry Food Stores</v>
      </c>
      <c r="F20">
        <f ca="1">VLOOKUP(E20,DoingBusinessAs.csv!D:G,4,FALSE)</f>
        <v>9</v>
      </c>
      <c r="G20">
        <f t="shared" ca="1" si="2"/>
        <v>9</v>
      </c>
    </row>
    <row r="21" spans="1:7" x14ac:dyDescent="0.3">
      <c r="A21" t="str">
        <f t="shared" ca="1" si="0"/>
        <v>LOCORG</v>
      </c>
      <c r="B21">
        <f t="shared" ca="1" si="1"/>
        <v>10</v>
      </c>
      <c r="C21">
        <f>IFERROR(VLOOKUP(E21,Location.csv!E:O,11,FALSE),"-")</f>
        <v>20</v>
      </c>
      <c r="D21">
        <f ca="1">Location.csv!C21</f>
        <v>10</v>
      </c>
      <c r="E21" t="str">
        <f>Location.csv!E21</f>
        <v>Magik Grey</v>
      </c>
      <c r="F21">
        <f ca="1">VLOOKUP(E21,DoingBusinessAs.csv!D:G,4,FALSE)</f>
        <v>10</v>
      </c>
      <c r="G21">
        <f t="shared" ca="1" si="2"/>
        <v>10</v>
      </c>
    </row>
    <row r="22" spans="1:7" x14ac:dyDescent="0.3">
      <c r="A22" t="str">
        <f t="shared" ca="1" si="0"/>
        <v>-</v>
      </c>
      <c r="B22">
        <f t="shared" ca="1" si="1"/>
        <v>10</v>
      </c>
      <c r="C22">
        <f>IFERROR(VLOOKUP(E22,Location.csv!E:O,11,FALSE),"-")</f>
        <v>21</v>
      </c>
      <c r="D22">
        <f ca="1">Location.csv!C22</f>
        <v>11</v>
      </c>
      <c r="E22" t="str">
        <f>Location.csv!E22</f>
        <v>Pantry Pride</v>
      </c>
      <c r="F22">
        <f ca="1">VLOOKUP(E22,DoingBusinessAs.csv!D:G,4,FALSE)</f>
        <v>10</v>
      </c>
      <c r="G22">
        <f t="shared" ca="1" si="2"/>
        <v>10</v>
      </c>
    </row>
    <row r="23" spans="1:7" x14ac:dyDescent="0.3">
      <c r="A23" t="str">
        <f t="shared" ca="1" si="0"/>
        <v>LOCORG</v>
      </c>
      <c r="B23">
        <f t="shared" ca="1" si="1"/>
        <v>11</v>
      </c>
      <c r="C23">
        <f>IFERROR(VLOOKUP(E23,Location.csv!E:O,11,FALSE),"-")</f>
        <v>22</v>
      </c>
      <c r="D23">
        <f ca="1">Location.csv!C23</f>
        <v>11</v>
      </c>
      <c r="E23" t="str">
        <f>Location.csv!E23</f>
        <v>Sandy's</v>
      </c>
      <c r="F23">
        <f ca="1">VLOOKUP(E23,DoingBusinessAs.csv!D:G,4,FALSE)</f>
        <v>11</v>
      </c>
      <c r="G23">
        <f t="shared" ca="1" si="2"/>
        <v>11</v>
      </c>
    </row>
    <row r="24" spans="1:7" x14ac:dyDescent="0.3">
      <c r="A24" t="str">
        <f t="shared" ca="1" si="0"/>
        <v>LOCORG</v>
      </c>
      <c r="B24">
        <f t="shared" ca="1" si="1"/>
        <v>12</v>
      </c>
      <c r="C24">
        <f>IFERROR(VLOOKUP(E24,Location.csv!E:O,11,FALSE),"-")</f>
        <v>23</v>
      </c>
      <c r="D24">
        <f ca="1">Location.csv!C24</f>
        <v>11</v>
      </c>
      <c r="E24" t="str">
        <f>Location.csv!E24</f>
        <v>Earthworks Garden Kare</v>
      </c>
      <c r="F24">
        <f ca="1">VLOOKUP(E24,DoingBusinessAs.csv!D:G,4,FALSE)</f>
        <v>12</v>
      </c>
      <c r="G24">
        <f t="shared" ca="1" si="2"/>
        <v>12</v>
      </c>
    </row>
    <row r="25" spans="1:7" x14ac:dyDescent="0.3">
      <c r="A25" t="str">
        <f t="shared" ca="1" si="0"/>
        <v>LOCORG</v>
      </c>
      <c r="B25">
        <f t="shared" ca="1" si="1"/>
        <v>13</v>
      </c>
      <c r="C25">
        <f>IFERROR(VLOOKUP(E25,Location.csv!E:O,11,FALSE),"-")</f>
        <v>24</v>
      </c>
      <c r="D25">
        <f ca="1">Location.csv!C25</f>
        <v>11</v>
      </c>
      <c r="E25" t="str">
        <f>Location.csv!E25</f>
        <v>Gamma Gas</v>
      </c>
      <c r="F25">
        <f ca="1">VLOOKUP(E25,DoingBusinessAs.csv!D:G,4,FALSE)</f>
        <v>13</v>
      </c>
      <c r="G25">
        <f t="shared" ca="1" si="2"/>
        <v>13</v>
      </c>
    </row>
    <row r="26" spans="1:7" x14ac:dyDescent="0.3">
      <c r="A26" t="str">
        <f t="shared" ca="1" si="0"/>
        <v>LOCORG</v>
      </c>
      <c r="B26">
        <f t="shared" ca="1" si="1"/>
        <v>14</v>
      </c>
      <c r="C26">
        <f>IFERROR(VLOOKUP(E26,Location.csv!E:O,11,FALSE),"-")</f>
        <v>25</v>
      </c>
      <c r="D26">
        <f ca="1">Location.csv!C26</f>
        <v>11</v>
      </c>
      <c r="E26" t="str">
        <f>Location.csv!E26</f>
        <v>Universo Realtors</v>
      </c>
      <c r="F26">
        <f ca="1">VLOOKUP(E26,DoingBusinessAs.csv!D:G,4,FALSE)</f>
        <v>14</v>
      </c>
      <c r="G26">
        <f t="shared" ca="1" si="2"/>
        <v>14</v>
      </c>
    </row>
    <row r="27" spans="1:7" x14ac:dyDescent="0.3">
      <c r="A27" t="str">
        <f t="shared" ca="1" si="0"/>
        <v>LOCORG</v>
      </c>
      <c r="B27">
        <f t="shared" ca="1" si="1"/>
        <v>15</v>
      </c>
      <c r="C27">
        <f>IFERROR(VLOOKUP(E27,Location.csv!E:O,11,FALSE),"-")</f>
        <v>26</v>
      </c>
      <c r="D27">
        <f ca="1">Location.csv!C27</f>
        <v>11</v>
      </c>
      <c r="E27" t="str">
        <f>Location.csv!E27</f>
        <v>Gas Depot</v>
      </c>
      <c r="F27">
        <f ca="1">VLOOKUP(E27,DoingBusinessAs.csv!D:G,4,FALSE)</f>
        <v>15</v>
      </c>
      <c r="G27">
        <f t="shared" ca="1" si="2"/>
        <v>15</v>
      </c>
    </row>
    <row r="28" spans="1:7" x14ac:dyDescent="0.3">
      <c r="A28" t="str">
        <f t="shared" ca="1" si="0"/>
        <v>LOCORG</v>
      </c>
      <c r="B28">
        <f t="shared" ca="1" si="1"/>
        <v>16</v>
      </c>
      <c r="C28">
        <f>IFERROR(VLOOKUP(E28,Location.csv!E:O,11,FALSE),"-")</f>
        <v>27</v>
      </c>
      <c r="D28">
        <f ca="1">Location.csv!C28</f>
        <v>11</v>
      </c>
      <c r="E28" t="str">
        <f>Location.csv!E28</f>
        <v>Service Merchandise</v>
      </c>
      <c r="F28">
        <f ca="1">VLOOKUP(E28,DoingBusinessAs.csv!D:G,4,FALSE)</f>
        <v>16</v>
      </c>
      <c r="G28">
        <f t="shared" ca="1" si="2"/>
        <v>16</v>
      </c>
    </row>
    <row r="29" spans="1:7" x14ac:dyDescent="0.3">
      <c r="A29" t="str">
        <f t="shared" ca="1" si="0"/>
        <v>LOCORG</v>
      </c>
      <c r="B29">
        <f t="shared" ca="1" si="1"/>
        <v>17</v>
      </c>
      <c r="C29">
        <f>IFERROR(VLOOKUP(E29,Location.csv!E:O,11,FALSE),"-")</f>
        <v>28</v>
      </c>
      <c r="D29">
        <f ca="1">Location.csv!C29</f>
        <v>11</v>
      </c>
      <c r="E29" t="str">
        <f>Location.csv!E29</f>
        <v>Lionel Playworld</v>
      </c>
      <c r="F29">
        <f ca="1">VLOOKUP(E29,DoingBusinessAs.csv!D:G,4,FALSE)</f>
        <v>17</v>
      </c>
      <c r="G29">
        <f t="shared" ca="1" si="2"/>
        <v>17</v>
      </c>
    </row>
    <row r="30" spans="1:7" x14ac:dyDescent="0.3">
      <c r="A30" t="str">
        <f t="shared" ca="1" si="0"/>
        <v>-</v>
      </c>
      <c r="B30">
        <f t="shared" ca="1" si="1"/>
        <v>17</v>
      </c>
      <c r="C30">
        <f>IFERROR(VLOOKUP(E30,Location.csv!E:O,11,FALSE),"-")</f>
        <v>29</v>
      </c>
      <c r="D30">
        <f ca="1">Location.csv!C30</f>
        <v>12</v>
      </c>
      <c r="E30" t="str">
        <f>Location.csv!E30</f>
        <v>Success Is Yours</v>
      </c>
      <c r="F30">
        <f ca="1">VLOOKUP(E30,DoingBusinessAs.csv!D:G,4,FALSE)</f>
        <v>17</v>
      </c>
      <c r="G30">
        <f t="shared" ca="1" si="2"/>
        <v>17</v>
      </c>
    </row>
    <row r="31" spans="1:7" x14ac:dyDescent="0.3">
      <c r="A31" t="str">
        <f t="shared" ca="1" si="0"/>
        <v>-</v>
      </c>
      <c r="B31">
        <f t="shared" ca="1" si="1"/>
        <v>17</v>
      </c>
      <c r="C31">
        <f>IFERROR(VLOOKUP(E31,Location.csv!E:O,11,FALSE),"-")</f>
        <v>30</v>
      </c>
      <c r="D31">
        <f ca="1">Location.csv!C31</f>
        <v>13</v>
      </c>
      <c r="E31" t="str">
        <f>Location.csv!E31</f>
        <v>Stratacard</v>
      </c>
      <c r="F31">
        <f ca="1">VLOOKUP(E31,DoingBusinessAs.csv!D:G,4,FALSE)</f>
        <v>17</v>
      </c>
      <c r="G31">
        <f t="shared" ca="1" si="2"/>
        <v>17</v>
      </c>
    </row>
    <row r="32" spans="1:7" x14ac:dyDescent="0.3">
      <c r="A32" t="str">
        <f t="shared" ca="1" si="0"/>
        <v>LOCORG</v>
      </c>
      <c r="B32">
        <f t="shared" ca="1" si="1"/>
        <v>18</v>
      </c>
      <c r="C32">
        <f>IFERROR(VLOOKUP(E32,Location.csv!E:O,11,FALSE),"-")</f>
        <v>31</v>
      </c>
      <c r="D32">
        <f ca="1">Location.csv!C32</f>
        <v>13</v>
      </c>
      <c r="E32" t="str">
        <f>Location.csv!E32</f>
        <v>J. Brannam</v>
      </c>
      <c r="F32">
        <f ca="1">VLOOKUP(E32,DoingBusinessAs.csv!D:G,4,FALSE)</f>
        <v>18</v>
      </c>
      <c r="G32">
        <f t="shared" ca="1" si="2"/>
        <v>18</v>
      </c>
    </row>
    <row r="33" spans="1:7" x14ac:dyDescent="0.3">
      <c r="A33" t="str">
        <f t="shared" ca="1" si="0"/>
        <v>LOCORG</v>
      </c>
      <c r="B33">
        <f t="shared" ca="1" si="1"/>
        <v>19</v>
      </c>
      <c r="C33">
        <f>IFERROR(VLOOKUP(E33,Location.csv!E:O,11,FALSE),"-")</f>
        <v>32</v>
      </c>
      <c r="D33">
        <f ca="1">Location.csv!C33</f>
        <v>13</v>
      </c>
      <c r="E33" t="str">
        <f>Location.csv!E33</f>
        <v>Happy Family</v>
      </c>
      <c r="F33">
        <f ca="1">VLOOKUP(E33,DoingBusinessAs.csv!D:G,4,FALSE)</f>
        <v>19</v>
      </c>
      <c r="G33">
        <f t="shared" ca="1" si="2"/>
        <v>19</v>
      </c>
    </row>
    <row r="34" spans="1:7" x14ac:dyDescent="0.3">
      <c r="A34" t="str">
        <f t="shared" ca="1" si="0"/>
        <v>-</v>
      </c>
      <c r="B34">
        <f t="shared" ca="1" si="1"/>
        <v>19</v>
      </c>
      <c r="C34" t="str">
        <f>IFERROR(VLOOKUP(E34,Location.csv!E:O,11,FALSE),"-")</f>
        <v>-</v>
      </c>
      <c r="D34">
        <f>Location.csv!C34</f>
        <v>0</v>
      </c>
      <c r="E34">
        <f>Location.csv!E34</f>
        <v>0</v>
      </c>
      <c r="F34">
        <f ca="1">VLOOKUP(E34,DoingBusinessAs.csv!D:G,4,FALSE)</f>
        <v>19</v>
      </c>
      <c r="G34">
        <f t="shared" ca="1" si="2"/>
        <v>19</v>
      </c>
    </row>
    <row r="35" spans="1:7" x14ac:dyDescent="0.3">
      <c r="A35" t="str">
        <f t="shared" si="0"/>
        <v>-</v>
      </c>
      <c r="B35">
        <f t="shared" ca="1" si="1"/>
        <v>19</v>
      </c>
      <c r="C35" t="str">
        <f>IFERROR(VLOOKUP(E35,Location.csv!E:O,11,FALSE),"-")</f>
        <v>-</v>
      </c>
      <c r="D35">
        <f>Location.csv!C35</f>
        <v>0</v>
      </c>
      <c r="E35">
        <f>Location.csv!E35</f>
        <v>0</v>
      </c>
      <c r="F35">
        <f ca="1">VLOOKUP(E35,DoingBusinessAs.csv!D:G,4,FALSE)</f>
        <v>19</v>
      </c>
      <c r="G35">
        <f t="shared" ca="1" si="2"/>
        <v>19</v>
      </c>
    </row>
    <row r="36" spans="1:7" x14ac:dyDescent="0.3">
      <c r="A36" t="str">
        <f t="shared" si="0"/>
        <v>-</v>
      </c>
      <c r="B36">
        <f t="shared" ca="1" si="1"/>
        <v>19</v>
      </c>
      <c r="C36" t="str">
        <f>IFERROR(VLOOKUP(E36,Location.csv!E:O,11,FALSE),"-")</f>
        <v>-</v>
      </c>
      <c r="D36">
        <f>Location.csv!C36</f>
        <v>0</v>
      </c>
      <c r="E36">
        <f>Location.csv!E36</f>
        <v>0</v>
      </c>
      <c r="F36">
        <f ca="1">VLOOKUP(E36,DoingBusinessAs.csv!D:G,4,FALSE)</f>
        <v>19</v>
      </c>
      <c r="G36">
        <f t="shared" ca="1" si="2"/>
        <v>19</v>
      </c>
    </row>
    <row r="37" spans="1:7" x14ac:dyDescent="0.3">
      <c r="A37" t="str">
        <f t="shared" si="0"/>
        <v>-</v>
      </c>
      <c r="B37">
        <f t="shared" ca="1" si="1"/>
        <v>19</v>
      </c>
      <c r="C37" t="str">
        <f>IFERROR(VLOOKUP(E37,Location.csv!E:O,11,FALSE),"-")</f>
        <v>-</v>
      </c>
      <c r="D37">
        <f>Location.csv!C37</f>
        <v>0</v>
      </c>
      <c r="E37">
        <f>Location.csv!E37</f>
        <v>0</v>
      </c>
      <c r="F37">
        <f ca="1">VLOOKUP(E37,DoingBusinessAs.csv!D:G,4,FALSE)</f>
        <v>19</v>
      </c>
      <c r="G37">
        <f t="shared" ca="1" si="2"/>
        <v>19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68"/>
  <sheetViews>
    <sheetView workbookViewId="0">
      <pane ySplit="1" topLeftCell="A2" activePane="bottomLeft" state="frozen"/>
      <selection pane="bottomLeft" activeCell="G2" sqref="G2:G68"/>
    </sheetView>
  </sheetViews>
  <sheetFormatPr defaultRowHeight="14.4" x14ac:dyDescent="0.3"/>
  <cols>
    <col min="1" max="1" width="4.5546875" bestFit="1" customWidth="1"/>
    <col min="2" max="2" width="3" bestFit="1" customWidth="1"/>
    <col min="3" max="3" width="12" bestFit="1" customWidth="1"/>
    <col min="4" max="4" width="7.109375" bestFit="1" customWidth="1"/>
    <col min="5" max="5" width="11.88671875" bestFit="1" customWidth="1"/>
    <col min="6" max="6" width="9.6640625" bestFit="1" customWidth="1"/>
    <col min="7" max="7" width="12.33203125" bestFit="1" customWidth="1"/>
    <col min="8" max="8" width="8.109375" bestFit="1" customWidth="1"/>
    <col min="9" max="9" width="13.6640625" bestFit="1" customWidth="1"/>
    <col min="10" max="10" width="20.33203125" bestFit="1" customWidth="1"/>
    <col min="11" max="11" width="3.3320312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2502</v>
      </c>
      <c r="D1" s="2" t="s">
        <v>2476</v>
      </c>
      <c r="E1" s="2" t="s">
        <v>2507</v>
      </c>
      <c r="F1" s="2" t="s">
        <v>2433</v>
      </c>
      <c r="G1" s="2" t="s">
        <v>2398</v>
      </c>
      <c r="H1" s="2" t="s">
        <v>2424</v>
      </c>
      <c r="I1" s="2" t="s">
        <v>2508</v>
      </c>
      <c r="J1" s="2" t="s">
        <v>2434</v>
      </c>
      <c r="K1" s="2" t="s">
        <v>2425</v>
      </c>
    </row>
    <row r="2" spans="1:11" x14ac:dyDescent="0.3">
      <c r="A2" t="str">
        <f ca="1">IFERROR(IF(VLOOKUP(C2,VerifiableOrg.csv!B:G,6)="-","-","VOC"),"-")</f>
        <v>VOC</v>
      </c>
      <c r="B2">
        <f>IF(ISNUMBER(B1),B1+1,1)</f>
        <v>1</v>
      </c>
      <c r="C2" s="3">
        <f t="shared" ref="C2:C40" si="0">IF(ISNUMBER(C1),IF(D1=1,C1+1,C1),1)</f>
        <v>1</v>
      </c>
      <c r="D2" s="3">
        <f t="shared" ref="D2:D40" ca="1" si="1">IF(C2&lt;&gt;C1,RANDBETWEEN(1,5),D1-1)</f>
        <v>1</v>
      </c>
      <c r="E2" s="3">
        <f t="shared" ref="E2:E40" si="2">IF(C2=C1,E1+1,1)</f>
        <v>1</v>
      </c>
      <c r="F2" t="s">
        <v>13</v>
      </c>
      <c r="G2" t="str">
        <f ca="1">"'"&amp;TEXT(TODAY()-RANDBETWEEN(20,5000),"YYYY-MM-DD")</f>
        <v>'2015-07-27</v>
      </c>
      <c r="H2" t="s">
        <v>13</v>
      </c>
      <c r="I2" t="str">
        <f ca="1">IF(RANDBETWEEN(1,10)&gt;2,"N/A",RANDBETWEEN(1,2))</f>
        <v>N/A</v>
      </c>
      <c r="J2" t="str">
        <f ca="1">IF(I2="N/A","rg:None",I2)</f>
        <v>rg:None</v>
      </c>
      <c r="K2">
        <f t="shared" ref="K2:K19" si="3">B2</f>
        <v>1</v>
      </c>
    </row>
    <row r="3" spans="1:11" x14ac:dyDescent="0.3">
      <c r="A3" t="str">
        <f ca="1">IFERROR(IF(VLOOKUP(C3,VerifiableOrg.csv!B:G,6)="-","-","VOC"),"-")</f>
        <v>VOC</v>
      </c>
      <c r="B3">
        <f t="shared" ref="B3:B19" si="4">IF(ISNUMBER(B2),B2+1,1)</f>
        <v>2</v>
      </c>
      <c r="C3" s="3">
        <f t="shared" ca="1" si="0"/>
        <v>2</v>
      </c>
      <c r="D3" s="3">
        <f t="shared" ca="1" si="1"/>
        <v>3</v>
      </c>
      <c r="E3" s="3">
        <f t="shared" ca="1" si="2"/>
        <v>1</v>
      </c>
      <c r="F3" t="s">
        <v>13</v>
      </c>
      <c r="G3" t="str">
        <f t="shared" ref="G3:G66" ca="1" si="5">"'"&amp;TEXT(TODAY()-RANDBETWEEN(20,5000),"YYYY-MM-DD")</f>
        <v>'2017-06-16</v>
      </c>
      <c r="H3" t="s">
        <v>13</v>
      </c>
      <c r="I3" t="str">
        <f t="shared" ref="I3:I66" ca="1" si="6">IF(RANDBETWEEN(1,10)&gt;2,"N/A",RANDBETWEEN(1,2))</f>
        <v>N/A</v>
      </c>
      <c r="J3" t="str">
        <f t="shared" ref="J3:J66" ca="1" si="7">IF(I3="N/A","rg:None",I3)</f>
        <v>rg:None</v>
      </c>
      <c r="K3">
        <f t="shared" si="3"/>
        <v>2</v>
      </c>
    </row>
    <row r="4" spans="1:11" x14ac:dyDescent="0.3">
      <c r="A4" t="str">
        <f ca="1">IFERROR(IF(VLOOKUP(C4,VerifiableOrg.csv!B:G,6)="-","-","VOC"),"-")</f>
        <v>VOC</v>
      </c>
      <c r="B4">
        <f t="shared" si="4"/>
        <v>3</v>
      </c>
      <c r="C4" s="3">
        <f t="shared" ca="1" si="0"/>
        <v>2</v>
      </c>
      <c r="D4" s="3">
        <f t="shared" ca="1" si="1"/>
        <v>2</v>
      </c>
      <c r="E4" s="3">
        <f t="shared" ca="1" si="2"/>
        <v>2</v>
      </c>
      <c r="F4" t="s">
        <v>13</v>
      </c>
      <c r="G4" t="str">
        <f t="shared" ca="1" si="5"/>
        <v>'2007-08-21</v>
      </c>
      <c r="H4" t="s">
        <v>13</v>
      </c>
      <c r="I4" t="str">
        <f t="shared" ca="1" si="6"/>
        <v>N/A</v>
      </c>
      <c r="J4" t="str">
        <f t="shared" ca="1" si="7"/>
        <v>rg:None</v>
      </c>
      <c r="K4">
        <f t="shared" si="3"/>
        <v>3</v>
      </c>
    </row>
    <row r="5" spans="1:11" x14ac:dyDescent="0.3">
      <c r="A5" t="str">
        <f ca="1">IFERROR(IF(VLOOKUP(C5,VerifiableOrg.csv!B:G,6)="-","-","VOC"),"-")</f>
        <v>VOC</v>
      </c>
      <c r="B5">
        <f t="shared" si="4"/>
        <v>4</v>
      </c>
      <c r="C5" s="3">
        <f t="shared" ca="1" si="0"/>
        <v>2</v>
      </c>
      <c r="D5" s="3">
        <f t="shared" ca="1" si="1"/>
        <v>1</v>
      </c>
      <c r="E5" s="3">
        <f t="shared" ca="1" si="2"/>
        <v>3</v>
      </c>
      <c r="F5" t="s">
        <v>13</v>
      </c>
      <c r="G5" t="str">
        <f t="shared" ca="1" si="5"/>
        <v>'2008-06-01</v>
      </c>
      <c r="H5" t="s">
        <v>13</v>
      </c>
      <c r="I5">
        <f t="shared" ca="1" si="6"/>
        <v>1</v>
      </c>
      <c r="J5">
        <f t="shared" ca="1" si="7"/>
        <v>1</v>
      </c>
      <c r="K5">
        <f t="shared" si="3"/>
        <v>4</v>
      </c>
    </row>
    <row r="6" spans="1:11" x14ac:dyDescent="0.3">
      <c r="A6" t="str">
        <f ca="1">IFERROR(IF(VLOOKUP(C6,VerifiableOrg.csv!B:G,6)="-","-","VOC"),"-")</f>
        <v>VOC</v>
      </c>
      <c r="B6">
        <f t="shared" si="4"/>
        <v>5</v>
      </c>
      <c r="C6" s="3">
        <f t="shared" ca="1" si="0"/>
        <v>3</v>
      </c>
      <c r="D6" s="3">
        <f t="shared" ca="1" si="1"/>
        <v>4</v>
      </c>
      <c r="E6" s="3">
        <f t="shared" ca="1" si="2"/>
        <v>1</v>
      </c>
      <c r="F6" t="s">
        <v>13</v>
      </c>
      <c r="G6" t="str">
        <f t="shared" ca="1" si="5"/>
        <v>'2004-11-20</v>
      </c>
      <c r="H6" t="s">
        <v>13</v>
      </c>
      <c r="I6" t="str">
        <f t="shared" ca="1" si="6"/>
        <v>N/A</v>
      </c>
      <c r="J6" t="str">
        <f t="shared" ca="1" si="7"/>
        <v>rg:None</v>
      </c>
      <c r="K6">
        <f t="shared" si="3"/>
        <v>5</v>
      </c>
    </row>
    <row r="7" spans="1:11" x14ac:dyDescent="0.3">
      <c r="A7" t="str">
        <f ca="1">IFERROR(IF(VLOOKUP(C7,VerifiableOrg.csv!B:G,6)="-","-","VOC"),"-")</f>
        <v>VOC</v>
      </c>
      <c r="B7">
        <f t="shared" si="4"/>
        <v>6</v>
      </c>
      <c r="C7" s="3">
        <f t="shared" ca="1" si="0"/>
        <v>3</v>
      </c>
      <c r="D7" s="3">
        <f t="shared" ca="1" si="1"/>
        <v>3</v>
      </c>
      <c r="E7" s="3">
        <f t="shared" ca="1" si="2"/>
        <v>2</v>
      </c>
      <c r="F7" t="s">
        <v>13</v>
      </c>
      <c r="G7" t="str">
        <f t="shared" ca="1" si="5"/>
        <v>'2015-12-25</v>
      </c>
      <c r="H7" t="s">
        <v>13</v>
      </c>
      <c r="I7" t="str">
        <f t="shared" ca="1" si="6"/>
        <v>N/A</v>
      </c>
      <c r="J7" t="str">
        <f t="shared" ca="1" si="7"/>
        <v>rg:None</v>
      </c>
      <c r="K7">
        <f t="shared" si="3"/>
        <v>6</v>
      </c>
    </row>
    <row r="8" spans="1:11" x14ac:dyDescent="0.3">
      <c r="A8" t="str">
        <f ca="1">IFERROR(IF(VLOOKUP(C8,VerifiableOrg.csv!B:G,6)="-","-","VOC"),"-")</f>
        <v>VOC</v>
      </c>
      <c r="B8">
        <f t="shared" si="4"/>
        <v>7</v>
      </c>
      <c r="C8" s="3">
        <f t="shared" ca="1" si="0"/>
        <v>3</v>
      </c>
      <c r="D8" s="3">
        <f t="shared" ca="1" si="1"/>
        <v>2</v>
      </c>
      <c r="E8" s="3">
        <f t="shared" ca="1" si="2"/>
        <v>3</v>
      </c>
      <c r="F8" t="s">
        <v>13</v>
      </c>
      <c r="G8" t="str">
        <f t="shared" ca="1" si="5"/>
        <v>'2008-08-28</v>
      </c>
      <c r="H8" t="s">
        <v>13</v>
      </c>
      <c r="I8" t="str">
        <f t="shared" ca="1" si="6"/>
        <v>N/A</v>
      </c>
      <c r="J8" t="str">
        <f t="shared" ca="1" si="7"/>
        <v>rg:None</v>
      </c>
      <c r="K8">
        <f t="shared" si="3"/>
        <v>7</v>
      </c>
    </row>
    <row r="9" spans="1:11" x14ac:dyDescent="0.3">
      <c r="A9" t="str">
        <f ca="1">IFERROR(IF(VLOOKUP(C9,VerifiableOrg.csv!B:G,6)="-","-","VOC"),"-")</f>
        <v>VOC</v>
      </c>
      <c r="B9">
        <f t="shared" si="4"/>
        <v>8</v>
      </c>
      <c r="C9" s="3">
        <f t="shared" ca="1" si="0"/>
        <v>3</v>
      </c>
      <c r="D9" s="3">
        <f t="shared" ca="1" si="1"/>
        <v>1</v>
      </c>
      <c r="E9" s="3">
        <f t="shared" ca="1" si="2"/>
        <v>4</v>
      </c>
      <c r="F9" t="s">
        <v>13</v>
      </c>
      <c r="G9" t="str">
        <f t="shared" ca="1" si="5"/>
        <v>'2009-04-29</v>
      </c>
      <c r="H9" t="s">
        <v>13</v>
      </c>
      <c r="I9" t="str">
        <f t="shared" ca="1" si="6"/>
        <v>N/A</v>
      </c>
      <c r="J9" t="str">
        <f t="shared" ca="1" si="7"/>
        <v>rg:None</v>
      </c>
      <c r="K9">
        <f t="shared" si="3"/>
        <v>8</v>
      </c>
    </row>
    <row r="10" spans="1:11" x14ac:dyDescent="0.3">
      <c r="A10" t="str">
        <f ca="1">IFERROR(IF(VLOOKUP(C10,VerifiableOrg.csv!B:G,6)="-","-","VOC"),"-")</f>
        <v>VOC</v>
      </c>
      <c r="B10">
        <f t="shared" si="4"/>
        <v>9</v>
      </c>
      <c r="C10" s="3">
        <f t="shared" ca="1" si="0"/>
        <v>4</v>
      </c>
      <c r="D10" s="3">
        <f t="shared" ca="1" si="1"/>
        <v>1</v>
      </c>
      <c r="E10" s="3">
        <f t="shared" ca="1" si="2"/>
        <v>1</v>
      </c>
      <c r="F10" t="s">
        <v>13</v>
      </c>
      <c r="G10" t="str">
        <f t="shared" ca="1" si="5"/>
        <v>'2004-06-29</v>
      </c>
      <c r="H10" t="s">
        <v>13</v>
      </c>
      <c r="I10" t="str">
        <f t="shared" ca="1" si="6"/>
        <v>N/A</v>
      </c>
      <c r="J10" t="str">
        <f t="shared" ca="1" si="7"/>
        <v>rg:None</v>
      </c>
      <c r="K10">
        <f t="shared" si="3"/>
        <v>9</v>
      </c>
    </row>
    <row r="11" spans="1:11" x14ac:dyDescent="0.3">
      <c r="A11" t="str">
        <f ca="1">IFERROR(IF(VLOOKUP(C11,VerifiableOrg.csv!B:G,6)="-","-","VOC"),"-")</f>
        <v>VOC</v>
      </c>
      <c r="B11">
        <f t="shared" si="4"/>
        <v>10</v>
      </c>
      <c r="C11" s="3">
        <f t="shared" ca="1" si="0"/>
        <v>5</v>
      </c>
      <c r="D11" s="3">
        <f t="shared" ca="1" si="1"/>
        <v>3</v>
      </c>
      <c r="E11" s="3">
        <f t="shared" ca="1" si="2"/>
        <v>1</v>
      </c>
      <c r="F11" t="s">
        <v>13</v>
      </c>
      <c r="G11" t="str">
        <f t="shared" ca="1" si="5"/>
        <v>'2009-01-04</v>
      </c>
      <c r="H11" t="s">
        <v>13</v>
      </c>
      <c r="I11" t="str">
        <f t="shared" ca="1" si="6"/>
        <v>N/A</v>
      </c>
      <c r="J11" t="str">
        <f t="shared" ca="1" si="7"/>
        <v>rg:None</v>
      </c>
      <c r="K11">
        <f t="shared" si="3"/>
        <v>10</v>
      </c>
    </row>
    <row r="12" spans="1:11" x14ac:dyDescent="0.3">
      <c r="A12" t="str">
        <f ca="1">IFERROR(IF(VLOOKUP(C12,VerifiableOrg.csv!B:G,6)="-","-","VOC"),"-")</f>
        <v>VOC</v>
      </c>
      <c r="B12">
        <f t="shared" si="4"/>
        <v>11</v>
      </c>
      <c r="C12" s="3">
        <f t="shared" ca="1" si="0"/>
        <v>5</v>
      </c>
      <c r="D12" s="3">
        <f t="shared" ca="1" si="1"/>
        <v>2</v>
      </c>
      <c r="E12" s="3">
        <f t="shared" ca="1" si="2"/>
        <v>2</v>
      </c>
      <c r="F12" t="s">
        <v>13</v>
      </c>
      <c r="G12" t="str">
        <f t="shared" ca="1" si="5"/>
        <v>'2016-06-25</v>
      </c>
      <c r="H12" t="s">
        <v>13</v>
      </c>
      <c r="I12" t="str">
        <f t="shared" ca="1" si="6"/>
        <v>N/A</v>
      </c>
      <c r="J12" t="str">
        <f t="shared" ca="1" si="7"/>
        <v>rg:None</v>
      </c>
      <c r="K12">
        <f t="shared" si="3"/>
        <v>11</v>
      </c>
    </row>
    <row r="13" spans="1:11" x14ac:dyDescent="0.3">
      <c r="A13" t="str">
        <f ca="1">IFERROR(IF(VLOOKUP(C13,VerifiableOrg.csv!B:G,6)="-","-","VOC"),"-")</f>
        <v>VOC</v>
      </c>
      <c r="B13">
        <f t="shared" si="4"/>
        <v>12</v>
      </c>
      <c r="C13" s="3">
        <f t="shared" ca="1" si="0"/>
        <v>5</v>
      </c>
      <c r="D13" s="3">
        <f t="shared" ca="1" si="1"/>
        <v>1</v>
      </c>
      <c r="E13" s="3">
        <f t="shared" ca="1" si="2"/>
        <v>3</v>
      </c>
      <c r="F13" t="s">
        <v>13</v>
      </c>
      <c r="G13" t="str">
        <f t="shared" ca="1" si="5"/>
        <v>'2006-02-22</v>
      </c>
      <c r="H13" t="s">
        <v>13</v>
      </c>
      <c r="I13" t="str">
        <f t="shared" ca="1" si="6"/>
        <v>N/A</v>
      </c>
      <c r="J13" t="str">
        <f t="shared" ca="1" si="7"/>
        <v>rg:None</v>
      </c>
      <c r="K13">
        <f t="shared" si="3"/>
        <v>12</v>
      </c>
    </row>
    <row r="14" spans="1:11" x14ac:dyDescent="0.3">
      <c r="A14" t="str">
        <f ca="1">IFERROR(IF(VLOOKUP(C14,VerifiableOrg.csv!B:G,6)="-","-","VOC"),"-")</f>
        <v>VOC</v>
      </c>
      <c r="B14">
        <f t="shared" si="4"/>
        <v>13</v>
      </c>
      <c r="C14" s="3">
        <f t="shared" ca="1" si="0"/>
        <v>6</v>
      </c>
      <c r="D14" s="3">
        <f t="shared" ca="1" si="1"/>
        <v>5</v>
      </c>
      <c r="E14" s="3">
        <f t="shared" ca="1" si="2"/>
        <v>1</v>
      </c>
      <c r="F14" t="s">
        <v>13</v>
      </c>
      <c r="G14" t="str">
        <f t="shared" ca="1" si="5"/>
        <v>'2016-10-31</v>
      </c>
      <c r="H14" t="s">
        <v>13</v>
      </c>
      <c r="I14">
        <f t="shared" ca="1" si="6"/>
        <v>2</v>
      </c>
      <c r="J14">
        <f t="shared" ca="1" si="7"/>
        <v>2</v>
      </c>
      <c r="K14">
        <f t="shared" si="3"/>
        <v>13</v>
      </c>
    </row>
    <row r="15" spans="1:11" x14ac:dyDescent="0.3">
      <c r="A15" t="str">
        <f ca="1">IFERROR(IF(VLOOKUP(C15,VerifiableOrg.csv!B:G,6)="-","-","VOC"),"-")</f>
        <v>VOC</v>
      </c>
      <c r="B15">
        <f t="shared" si="4"/>
        <v>14</v>
      </c>
      <c r="C15" s="3">
        <f t="shared" ca="1" si="0"/>
        <v>6</v>
      </c>
      <c r="D15" s="3">
        <f t="shared" ca="1" si="1"/>
        <v>4</v>
      </c>
      <c r="E15" s="3">
        <f t="shared" ca="1" si="2"/>
        <v>2</v>
      </c>
      <c r="F15" t="s">
        <v>13</v>
      </c>
      <c r="G15" t="str">
        <f t="shared" ca="1" si="5"/>
        <v>'2005-09-03</v>
      </c>
      <c r="H15" t="s">
        <v>13</v>
      </c>
      <c r="I15" t="str">
        <f t="shared" ca="1" si="6"/>
        <v>N/A</v>
      </c>
      <c r="J15" t="str">
        <f t="shared" ca="1" si="7"/>
        <v>rg:None</v>
      </c>
      <c r="K15">
        <f t="shared" si="3"/>
        <v>14</v>
      </c>
    </row>
    <row r="16" spans="1:11" x14ac:dyDescent="0.3">
      <c r="A16" t="str">
        <f ca="1">IFERROR(IF(VLOOKUP(C16,VerifiableOrg.csv!B:G,6)="-","-","VOC"),"-")</f>
        <v>VOC</v>
      </c>
      <c r="B16">
        <f t="shared" si="4"/>
        <v>15</v>
      </c>
      <c r="C16" s="3">
        <f t="shared" ca="1" si="0"/>
        <v>6</v>
      </c>
      <c r="D16" s="3">
        <f t="shared" ca="1" si="1"/>
        <v>3</v>
      </c>
      <c r="E16" s="3">
        <f t="shared" ca="1" si="2"/>
        <v>3</v>
      </c>
      <c r="F16" t="s">
        <v>13</v>
      </c>
      <c r="G16" t="str">
        <f t="shared" ca="1" si="5"/>
        <v>'2008-08-13</v>
      </c>
      <c r="H16" t="s">
        <v>13</v>
      </c>
      <c r="I16" t="str">
        <f t="shared" ca="1" si="6"/>
        <v>N/A</v>
      </c>
      <c r="J16" t="str">
        <f t="shared" ca="1" si="7"/>
        <v>rg:None</v>
      </c>
      <c r="K16">
        <f t="shared" si="3"/>
        <v>15</v>
      </c>
    </row>
    <row r="17" spans="1:11" x14ac:dyDescent="0.3">
      <c r="A17" t="str">
        <f ca="1">IFERROR(IF(VLOOKUP(C17,VerifiableOrg.csv!B:G,6)="-","-","VOC"),"-")</f>
        <v>VOC</v>
      </c>
      <c r="B17">
        <f t="shared" si="4"/>
        <v>16</v>
      </c>
      <c r="C17" s="3">
        <f t="shared" ca="1" si="0"/>
        <v>6</v>
      </c>
      <c r="D17" s="3">
        <f t="shared" ca="1" si="1"/>
        <v>2</v>
      </c>
      <c r="E17" s="3">
        <f t="shared" ca="1" si="2"/>
        <v>4</v>
      </c>
      <c r="F17" t="s">
        <v>13</v>
      </c>
      <c r="G17" t="str">
        <f t="shared" ca="1" si="5"/>
        <v>'2012-05-22</v>
      </c>
      <c r="H17" t="s">
        <v>13</v>
      </c>
      <c r="I17" t="str">
        <f t="shared" ca="1" si="6"/>
        <v>N/A</v>
      </c>
      <c r="J17" t="str">
        <f t="shared" ca="1" si="7"/>
        <v>rg:None</v>
      </c>
      <c r="K17">
        <f t="shared" si="3"/>
        <v>16</v>
      </c>
    </row>
    <row r="18" spans="1:11" x14ac:dyDescent="0.3">
      <c r="A18" t="str">
        <f ca="1">IFERROR(IF(VLOOKUP(C18,VerifiableOrg.csv!B:G,6)="-","-","VOC"),"-")</f>
        <v>VOC</v>
      </c>
      <c r="B18">
        <f t="shared" si="4"/>
        <v>17</v>
      </c>
      <c r="C18" s="3">
        <f t="shared" ca="1" si="0"/>
        <v>6</v>
      </c>
      <c r="D18" s="3">
        <f t="shared" ca="1" si="1"/>
        <v>1</v>
      </c>
      <c r="E18" s="3">
        <f t="shared" ca="1" si="2"/>
        <v>5</v>
      </c>
      <c r="F18" t="s">
        <v>13</v>
      </c>
      <c r="G18" t="str">
        <f t="shared" ca="1" si="5"/>
        <v>'2010-09-25</v>
      </c>
      <c r="H18" t="s">
        <v>13</v>
      </c>
      <c r="I18" t="str">
        <f t="shared" ca="1" si="6"/>
        <v>N/A</v>
      </c>
      <c r="J18" t="str">
        <f t="shared" ca="1" si="7"/>
        <v>rg:None</v>
      </c>
      <c r="K18">
        <f t="shared" si="3"/>
        <v>17</v>
      </c>
    </row>
    <row r="19" spans="1:11" x14ac:dyDescent="0.3">
      <c r="A19" t="str">
        <f ca="1">IFERROR(IF(VLOOKUP(C19,VerifiableOrg.csv!B:G,6)="-","-","VOC"),"-")</f>
        <v>VOC</v>
      </c>
      <c r="B19">
        <f t="shared" si="4"/>
        <v>18</v>
      </c>
      <c r="C19" s="3">
        <f t="shared" ca="1" si="0"/>
        <v>7</v>
      </c>
      <c r="D19" s="3">
        <f t="shared" ca="1" si="1"/>
        <v>5</v>
      </c>
      <c r="E19" s="3">
        <f t="shared" ca="1" si="2"/>
        <v>1</v>
      </c>
      <c r="F19" t="s">
        <v>13</v>
      </c>
      <c r="G19" t="str">
        <f t="shared" ca="1" si="5"/>
        <v>'2015-08-11</v>
      </c>
      <c r="H19" t="s">
        <v>13</v>
      </c>
      <c r="I19">
        <f t="shared" ca="1" si="6"/>
        <v>2</v>
      </c>
      <c r="J19">
        <f t="shared" ca="1" si="7"/>
        <v>2</v>
      </c>
      <c r="K19">
        <f t="shared" si="3"/>
        <v>18</v>
      </c>
    </row>
    <row r="20" spans="1:11" x14ac:dyDescent="0.3">
      <c r="A20" t="str">
        <f ca="1">IFERROR(IF(VLOOKUP(C20,VerifiableOrg.csv!B:G,6)="-","-","VOC"),"-")</f>
        <v>VOC</v>
      </c>
      <c r="B20">
        <f t="shared" ref="B20:B68" si="8">IF(ISNUMBER(B19),B19+1,1)</f>
        <v>19</v>
      </c>
      <c r="C20" s="3">
        <f t="shared" ca="1" si="0"/>
        <v>7</v>
      </c>
      <c r="D20" s="3">
        <f t="shared" ca="1" si="1"/>
        <v>4</v>
      </c>
      <c r="E20" s="3">
        <f t="shared" ca="1" si="2"/>
        <v>2</v>
      </c>
      <c r="F20" t="s">
        <v>13</v>
      </c>
      <c r="G20" t="str">
        <f t="shared" ca="1" si="5"/>
        <v>'2016-08-04</v>
      </c>
      <c r="H20" t="s">
        <v>13</v>
      </c>
      <c r="I20">
        <f t="shared" ca="1" si="6"/>
        <v>2</v>
      </c>
      <c r="J20">
        <f t="shared" ca="1" si="7"/>
        <v>2</v>
      </c>
      <c r="K20">
        <f t="shared" ref="K20:K40" si="9">B20</f>
        <v>19</v>
      </c>
    </row>
    <row r="21" spans="1:11" x14ac:dyDescent="0.3">
      <c r="A21" t="str">
        <f ca="1">IFERROR(IF(VLOOKUP(C21,VerifiableOrg.csv!B:G,6)="-","-","VOC"),"-")</f>
        <v>VOC</v>
      </c>
      <c r="B21">
        <f t="shared" si="8"/>
        <v>20</v>
      </c>
      <c r="C21" s="3">
        <f t="shared" ca="1" si="0"/>
        <v>7</v>
      </c>
      <c r="D21" s="3">
        <f t="shared" ca="1" si="1"/>
        <v>3</v>
      </c>
      <c r="E21" s="3">
        <f t="shared" ca="1" si="2"/>
        <v>3</v>
      </c>
      <c r="F21" t="s">
        <v>13</v>
      </c>
      <c r="G21" t="str">
        <f t="shared" ca="1" si="5"/>
        <v>'2016-04-18</v>
      </c>
      <c r="H21" t="s">
        <v>13</v>
      </c>
      <c r="I21" t="str">
        <f t="shared" ca="1" si="6"/>
        <v>N/A</v>
      </c>
      <c r="J21" t="str">
        <f t="shared" ca="1" si="7"/>
        <v>rg:None</v>
      </c>
      <c r="K21">
        <f t="shared" si="9"/>
        <v>20</v>
      </c>
    </row>
    <row r="22" spans="1:11" x14ac:dyDescent="0.3">
      <c r="A22" t="str">
        <f ca="1">IFERROR(IF(VLOOKUP(C22,VerifiableOrg.csv!B:G,6)="-","-","VOC"),"-")</f>
        <v>VOC</v>
      </c>
      <c r="B22">
        <f t="shared" si="8"/>
        <v>21</v>
      </c>
      <c r="C22" s="3">
        <f t="shared" ca="1" si="0"/>
        <v>7</v>
      </c>
      <c r="D22" s="3">
        <f t="shared" ca="1" si="1"/>
        <v>2</v>
      </c>
      <c r="E22" s="3">
        <f t="shared" ca="1" si="2"/>
        <v>4</v>
      </c>
      <c r="F22" t="s">
        <v>13</v>
      </c>
      <c r="G22" t="str">
        <f t="shared" ca="1" si="5"/>
        <v>'2017-04-27</v>
      </c>
      <c r="H22" t="s">
        <v>13</v>
      </c>
      <c r="I22" t="str">
        <f t="shared" ca="1" si="6"/>
        <v>N/A</v>
      </c>
      <c r="J22" t="str">
        <f t="shared" ca="1" si="7"/>
        <v>rg:None</v>
      </c>
      <c r="K22">
        <f t="shared" si="9"/>
        <v>21</v>
      </c>
    </row>
    <row r="23" spans="1:11" x14ac:dyDescent="0.3">
      <c r="A23" t="str">
        <f ca="1">IFERROR(IF(VLOOKUP(C23,VerifiableOrg.csv!B:G,6)="-","-","VOC"),"-")</f>
        <v>VOC</v>
      </c>
      <c r="B23">
        <f t="shared" si="8"/>
        <v>22</v>
      </c>
      <c r="C23" s="3">
        <f t="shared" ca="1" si="0"/>
        <v>7</v>
      </c>
      <c r="D23" s="3">
        <f t="shared" ca="1" si="1"/>
        <v>1</v>
      </c>
      <c r="E23" s="3">
        <f t="shared" ca="1" si="2"/>
        <v>5</v>
      </c>
      <c r="F23" t="s">
        <v>13</v>
      </c>
      <c r="G23" t="str">
        <f t="shared" ca="1" si="5"/>
        <v>'2009-01-02</v>
      </c>
      <c r="H23" t="s">
        <v>13</v>
      </c>
      <c r="I23" t="str">
        <f t="shared" ca="1" si="6"/>
        <v>N/A</v>
      </c>
      <c r="J23" t="str">
        <f t="shared" ca="1" si="7"/>
        <v>rg:None</v>
      </c>
      <c r="K23">
        <f t="shared" si="9"/>
        <v>22</v>
      </c>
    </row>
    <row r="24" spans="1:11" x14ac:dyDescent="0.3">
      <c r="A24" t="str">
        <f ca="1">IFERROR(IF(VLOOKUP(C24,VerifiableOrg.csv!B:G,6)="-","-","VOC"),"-")</f>
        <v>VOC</v>
      </c>
      <c r="B24">
        <f t="shared" si="8"/>
        <v>23</v>
      </c>
      <c r="C24" s="3">
        <f t="shared" ca="1" si="0"/>
        <v>8</v>
      </c>
      <c r="D24" s="3">
        <f t="shared" ca="1" si="1"/>
        <v>5</v>
      </c>
      <c r="E24" s="3">
        <f t="shared" ca="1" si="2"/>
        <v>1</v>
      </c>
      <c r="F24" t="s">
        <v>13</v>
      </c>
      <c r="G24" t="str">
        <f t="shared" ca="1" si="5"/>
        <v>'2013-07-02</v>
      </c>
      <c r="H24" t="s">
        <v>13</v>
      </c>
      <c r="I24" t="str">
        <f t="shared" ca="1" si="6"/>
        <v>N/A</v>
      </c>
      <c r="J24" t="str">
        <f t="shared" ca="1" si="7"/>
        <v>rg:None</v>
      </c>
      <c r="K24">
        <f t="shared" si="9"/>
        <v>23</v>
      </c>
    </row>
    <row r="25" spans="1:11" x14ac:dyDescent="0.3">
      <c r="A25" t="str">
        <f ca="1">IFERROR(IF(VLOOKUP(C25,VerifiableOrg.csv!B:G,6)="-","-","VOC"),"-")</f>
        <v>VOC</v>
      </c>
      <c r="B25">
        <f t="shared" si="8"/>
        <v>24</v>
      </c>
      <c r="C25" s="3">
        <f t="shared" ca="1" si="0"/>
        <v>8</v>
      </c>
      <c r="D25" s="3">
        <f t="shared" ca="1" si="1"/>
        <v>4</v>
      </c>
      <c r="E25" s="3">
        <f t="shared" ca="1" si="2"/>
        <v>2</v>
      </c>
      <c r="F25" t="s">
        <v>13</v>
      </c>
      <c r="G25" t="str">
        <f t="shared" ca="1" si="5"/>
        <v>'2016-12-28</v>
      </c>
      <c r="H25" t="s">
        <v>13</v>
      </c>
      <c r="I25" t="str">
        <f t="shared" ca="1" si="6"/>
        <v>N/A</v>
      </c>
      <c r="J25" t="str">
        <f t="shared" ca="1" si="7"/>
        <v>rg:None</v>
      </c>
      <c r="K25">
        <f t="shared" si="9"/>
        <v>24</v>
      </c>
    </row>
    <row r="26" spans="1:11" x14ac:dyDescent="0.3">
      <c r="A26" t="str">
        <f ca="1">IFERROR(IF(VLOOKUP(C26,VerifiableOrg.csv!B:G,6)="-","-","VOC"),"-")</f>
        <v>VOC</v>
      </c>
      <c r="B26">
        <f t="shared" si="8"/>
        <v>25</v>
      </c>
      <c r="C26" s="3">
        <f t="shared" ca="1" si="0"/>
        <v>8</v>
      </c>
      <c r="D26" s="3">
        <f t="shared" ca="1" si="1"/>
        <v>3</v>
      </c>
      <c r="E26" s="3">
        <f t="shared" ca="1" si="2"/>
        <v>3</v>
      </c>
      <c r="F26" t="s">
        <v>13</v>
      </c>
      <c r="G26" t="str">
        <f t="shared" ca="1" si="5"/>
        <v>'2006-12-13</v>
      </c>
      <c r="H26" t="s">
        <v>13</v>
      </c>
      <c r="I26" t="str">
        <f t="shared" ca="1" si="6"/>
        <v>N/A</v>
      </c>
      <c r="J26" t="str">
        <f t="shared" ca="1" si="7"/>
        <v>rg:None</v>
      </c>
      <c r="K26">
        <f t="shared" si="9"/>
        <v>25</v>
      </c>
    </row>
    <row r="27" spans="1:11" x14ac:dyDescent="0.3">
      <c r="A27" t="str">
        <f ca="1">IFERROR(IF(VLOOKUP(C27,VerifiableOrg.csv!B:G,6)="-","-","VOC"),"-")</f>
        <v>VOC</v>
      </c>
      <c r="B27">
        <f t="shared" si="8"/>
        <v>26</v>
      </c>
      <c r="C27" s="3">
        <f t="shared" ca="1" si="0"/>
        <v>8</v>
      </c>
      <c r="D27" s="3">
        <f t="shared" ca="1" si="1"/>
        <v>2</v>
      </c>
      <c r="E27" s="3">
        <f t="shared" ca="1" si="2"/>
        <v>4</v>
      </c>
      <c r="F27" t="s">
        <v>13</v>
      </c>
      <c r="G27" t="str">
        <f t="shared" ca="1" si="5"/>
        <v>'2010-02-12</v>
      </c>
      <c r="H27" t="s">
        <v>13</v>
      </c>
      <c r="I27" t="str">
        <f t="shared" ca="1" si="6"/>
        <v>N/A</v>
      </c>
      <c r="J27" t="str">
        <f t="shared" ca="1" si="7"/>
        <v>rg:None</v>
      </c>
      <c r="K27">
        <f t="shared" si="9"/>
        <v>26</v>
      </c>
    </row>
    <row r="28" spans="1:11" x14ac:dyDescent="0.3">
      <c r="A28" t="str">
        <f ca="1">IFERROR(IF(VLOOKUP(C28,VerifiableOrg.csv!B:G,6)="-","-","VOC"),"-")</f>
        <v>VOC</v>
      </c>
      <c r="B28">
        <f t="shared" si="8"/>
        <v>27</v>
      </c>
      <c r="C28" s="3">
        <f t="shared" ca="1" si="0"/>
        <v>8</v>
      </c>
      <c r="D28" s="3">
        <f t="shared" ca="1" si="1"/>
        <v>1</v>
      </c>
      <c r="E28" s="3">
        <f t="shared" ca="1" si="2"/>
        <v>5</v>
      </c>
      <c r="F28" t="s">
        <v>13</v>
      </c>
      <c r="G28" t="str">
        <f t="shared" ca="1" si="5"/>
        <v>'2013-01-17</v>
      </c>
      <c r="H28" t="s">
        <v>13</v>
      </c>
      <c r="I28" t="str">
        <f t="shared" ca="1" si="6"/>
        <v>N/A</v>
      </c>
      <c r="J28" t="str">
        <f t="shared" ca="1" si="7"/>
        <v>rg:None</v>
      </c>
      <c r="K28">
        <f t="shared" si="9"/>
        <v>27</v>
      </c>
    </row>
    <row r="29" spans="1:11" x14ac:dyDescent="0.3">
      <c r="A29" t="str">
        <f ca="1">IFERROR(IF(VLOOKUP(C29,VerifiableOrg.csv!B:G,6)="-","-","VOC"),"-")</f>
        <v>VOC</v>
      </c>
      <c r="B29">
        <f t="shared" si="8"/>
        <v>28</v>
      </c>
      <c r="C29" s="3">
        <f t="shared" ca="1" si="0"/>
        <v>9</v>
      </c>
      <c r="D29" s="3">
        <f t="shared" ca="1" si="1"/>
        <v>4</v>
      </c>
      <c r="E29" s="3">
        <f t="shared" ca="1" si="2"/>
        <v>1</v>
      </c>
      <c r="F29" t="s">
        <v>13</v>
      </c>
      <c r="G29" t="str">
        <f t="shared" ca="1" si="5"/>
        <v>'2014-06-04</v>
      </c>
      <c r="H29" t="s">
        <v>13</v>
      </c>
      <c r="I29" t="str">
        <f t="shared" ca="1" si="6"/>
        <v>N/A</v>
      </c>
      <c r="J29" t="str">
        <f t="shared" ca="1" si="7"/>
        <v>rg:None</v>
      </c>
      <c r="K29">
        <f t="shared" si="9"/>
        <v>28</v>
      </c>
    </row>
    <row r="30" spans="1:11" x14ac:dyDescent="0.3">
      <c r="A30" t="str">
        <f ca="1">IFERROR(IF(VLOOKUP(C30,VerifiableOrg.csv!B:G,6)="-","-","VOC"),"-")</f>
        <v>VOC</v>
      </c>
      <c r="B30">
        <f t="shared" si="8"/>
        <v>29</v>
      </c>
      <c r="C30" s="3">
        <f t="shared" ca="1" si="0"/>
        <v>9</v>
      </c>
      <c r="D30" s="3">
        <f t="shared" ca="1" si="1"/>
        <v>3</v>
      </c>
      <c r="E30" s="3">
        <f t="shared" ca="1" si="2"/>
        <v>2</v>
      </c>
      <c r="F30" t="s">
        <v>13</v>
      </c>
      <c r="G30" t="str">
        <f t="shared" ca="1" si="5"/>
        <v>'2004-11-04</v>
      </c>
      <c r="H30" t="s">
        <v>13</v>
      </c>
      <c r="I30" t="str">
        <f t="shared" ca="1" si="6"/>
        <v>N/A</v>
      </c>
      <c r="J30" t="str">
        <f t="shared" ca="1" si="7"/>
        <v>rg:None</v>
      </c>
      <c r="K30">
        <f t="shared" si="9"/>
        <v>29</v>
      </c>
    </row>
    <row r="31" spans="1:11" x14ac:dyDescent="0.3">
      <c r="A31" t="str">
        <f ca="1">IFERROR(IF(VLOOKUP(C31,VerifiableOrg.csv!B:G,6)="-","-","VOC"),"-")</f>
        <v>VOC</v>
      </c>
      <c r="B31">
        <f t="shared" si="8"/>
        <v>30</v>
      </c>
      <c r="C31" s="3">
        <f t="shared" ca="1" si="0"/>
        <v>9</v>
      </c>
      <c r="D31" s="3">
        <f t="shared" ca="1" si="1"/>
        <v>2</v>
      </c>
      <c r="E31" s="3">
        <f t="shared" ca="1" si="2"/>
        <v>3</v>
      </c>
      <c r="F31" t="s">
        <v>13</v>
      </c>
      <c r="G31" t="str">
        <f t="shared" ca="1" si="5"/>
        <v>'2005-10-01</v>
      </c>
      <c r="H31" t="s">
        <v>13</v>
      </c>
      <c r="I31" t="str">
        <f t="shared" ca="1" si="6"/>
        <v>N/A</v>
      </c>
      <c r="J31" t="str">
        <f t="shared" ca="1" si="7"/>
        <v>rg:None</v>
      </c>
      <c r="K31">
        <f t="shared" si="9"/>
        <v>30</v>
      </c>
    </row>
    <row r="32" spans="1:11" x14ac:dyDescent="0.3">
      <c r="A32" t="str">
        <f ca="1">IFERROR(IF(VLOOKUP(C32,VerifiableOrg.csv!B:G,6)="-","-","VOC"),"-")</f>
        <v>VOC</v>
      </c>
      <c r="B32">
        <f t="shared" si="8"/>
        <v>31</v>
      </c>
      <c r="C32" s="3">
        <f t="shared" ca="1" si="0"/>
        <v>9</v>
      </c>
      <c r="D32" s="3">
        <f t="shared" ca="1" si="1"/>
        <v>1</v>
      </c>
      <c r="E32" s="3">
        <f t="shared" ca="1" si="2"/>
        <v>4</v>
      </c>
      <c r="F32" t="s">
        <v>13</v>
      </c>
      <c r="G32" t="str">
        <f t="shared" ca="1" si="5"/>
        <v>'2006-02-04</v>
      </c>
      <c r="H32" t="s">
        <v>13</v>
      </c>
      <c r="I32" t="str">
        <f t="shared" ca="1" si="6"/>
        <v>N/A</v>
      </c>
      <c r="J32" t="str">
        <f t="shared" ca="1" si="7"/>
        <v>rg:None</v>
      </c>
      <c r="K32">
        <f t="shared" si="9"/>
        <v>31</v>
      </c>
    </row>
    <row r="33" spans="1:11" x14ac:dyDescent="0.3">
      <c r="A33" t="str">
        <f ca="1">IFERROR(IF(VLOOKUP(C33,VerifiableOrg.csv!B:G,6)="-","-","VOC"),"-")</f>
        <v>VOC</v>
      </c>
      <c r="B33">
        <f t="shared" si="8"/>
        <v>32</v>
      </c>
      <c r="C33" s="3">
        <f t="shared" ca="1" si="0"/>
        <v>10</v>
      </c>
      <c r="D33" s="3">
        <f t="shared" ca="1" si="1"/>
        <v>3</v>
      </c>
      <c r="E33" s="3">
        <f t="shared" ca="1" si="2"/>
        <v>1</v>
      </c>
      <c r="F33" t="s">
        <v>13</v>
      </c>
      <c r="G33" t="str">
        <f t="shared" ca="1" si="5"/>
        <v>'2013-08-10</v>
      </c>
      <c r="H33" t="s">
        <v>13</v>
      </c>
      <c r="I33" t="str">
        <f t="shared" ca="1" si="6"/>
        <v>N/A</v>
      </c>
      <c r="J33" t="str">
        <f t="shared" ca="1" si="7"/>
        <v>rg:None</v>
      </c>
      <c r="K33">
        <f t="shared" si="9"/>
        <v>32</v>
      </c>
    </row>
    <row r="34" spans="1:11" x14ac:dyDescent="0.3">
      <c r="A34" t="str">
        <f ca="1">IFERROR(IF(VLOOKUP(C34,VerifiableOrg.csv!B:G,6)="-","-","VOC"),"-")</f>
        <v>VOC</v>
      </c>
      <c r="B34">
        <f t="shared" si="8"/>
        <v>33</v>
      </c>
      <c r="C34" s="3">
        <f t="shared" ca="1" si="0"/>
        <v>10</v>
      </c>
      <c r="D34" s="3">
        <f t="shared" ca="1" si="1"/>
        <v>2</v>
      </c>
      <c r="E34" s="3">
        <f t="shared" ca="1" si="2"/>
        <v>2</v>
      </c>
      <c r="F34" t="s">
        <v>13</v>
      </c>
      <c r="G34" t="str">
        <f t="shared" ca="1" si="5"/>
        <v>'2008-04-18</v>
      </c>
      <c r="H34" t="s">
        <v>13</v>
      </c>
      <c r="I34" t="str">
        <f t="shared" ca="1" si="6"/>
        <v>N/A</v>
      </c>
      <c r="J34" t="str">
        <f t="shared" ca="1" si="7"/>
        <v>rg:None</v>
      </c>
      <c r="K34">
        <f t="shared" si="9"/>
        <v>33</v>
      </c>
    </row>
    <row r="35" spans="1:11" x14ac:dyDescent="0.3">
      <c r="A35" t="str">
        <f ca="1">IFERROR(IF(VLOOKUP(C35,VerifiableOrg.csv!B:G,6)="-","-","VOC"),"-")</f>
        <v>VOC</v>
      </c>
      <c r="B35">
        <f t="shared" si="8"/>
        <v>34</v>
      </c>
      <c r="C35" s="3">
        <f t="shared" ca="1" si="0"/>
        <v>10</v>
      </c>
      <c r="D35" s="3">
        <f t="shared" ca="1" si="1"/>
        <v>1</v>
      </c>
      <c r="E35" s="3">
        <f t="shared" ca="1" si="2"/>
        <v>3</v>
      </c>
      <c r="F35" t="s">
        <v>13</v>
      </c>
      <c r="G35" t="str">
        <f t="shared" ca="1" si="5"/>
        <v>'2016-06-11</v>
      </c>
      <c r="H35" t="s">
        <v>13</v>
      </c>
      <c r="I35" t="str">
        <f t="shared" ca="1" si="6"/>
        <v>N/A</v>
      </c>
      <c r="J35" t="str">
        <f t="shared" ca="1" si="7"/>
        <v>rg:None</v>
      </c>
      <c r="K35">
        <f t="shared" si="9"/>
        <v>34</v>
      </c>
    </row>
    <row r="36" spans="1:11" x14ac:dyDescent="0.3">
      <c r="A36" t="str">
        <f ca="1">IFERROR(IF(VLOOKUP(C36,VerifiableOrg.csv!B:G,6)="-","-","VOC"),"-")</f>
        <v>VOC</v>
      </c>
      <c r="B36">
        <f t="shared" si="8"/>
        <v>35</v>
      </c>
      <c r="C36" s="3">
        <f t="shared" ca="1" si="0"/>
        <v>11</v>
      </c>
      <c r="D36" s="3">
        <f t="shared" ca="1" si="1"/>
        <v>5</v>
      </c>
      <c r="E36" s="3">
        <f t="shared" ca="1" si="2"/>
        <v>1</v>
      </c>
      <c r="F36" t="s">
        <v>13</v>
      </c>
      <c r="G36" t="str">
        <f t="shared" ca="1" si="5"/>
        <v>'2015-12-16</v>
      </c>
      <c r="H36" t="s">
        <v>13</v>
      </c>
      <c r="I36">
        <f t="shared" ca="1" si="6"/>
        <v>2</v>
      </c>
      <c r="J36">
        <f t="shared" ca="1" si="7"/>
        <v>2</v>
      </c>
      <c r="K36">
        <f t="shared" si="9"/>
        <v>35</v>
      </c>
    </row>
    <row r="37" spans="1:11" x14ac:dyDescent="0.3">
      <c r="A37" t="str">
        <f ca="1">IFERROR(IF(VLOOKUP(C37,VerifiableOrg.csv!B:G,6)="-","-","VOC"),"-")</f>
        <v>VOC</v>
      </c>
      <c r="B37">
        <f t="shared" si="8"/>
        <v>36</v>
      </c>
      <c r="C37" s="3">
        <f t="shared" ca="1" si="0"/>
        <v>11</v>
      </c>
      <c r="D37" s="3">
        <f t="shared" ca="1" si="1"/>
        <v>4</v>
      </c>
      <c r="E37" s="3">
        <f t="shared" ca="1" si="2"/>
        <v>2</v>
      </c>
      <c r="F37" t="s">
        <v>13</v>
      </c>
      <c r="G37" t="str">
        <f t="shared" ca="1" si="5"/>
        <v>'2006-03-10</v>
      </c>
      <c r="H37" t="s">
        <v>13</v>
      </c>
      <c r="I37" t="str">
        <f t="shared" ca="1" si="6"/>
        <v>N/A</v>
      </c>
      <c r="J37" t="str">
        <f t="shared" ca="1" si="7"/>
        <v>rg:None</v>
      </c>
      <c r="K37">
        <f t="shared" si="9"/>
        <v>36</v>
      </c>
    </row>
    <row r="38" spans="1:11" x14ac:dyDescent="0.3">
      <c r="A38" t="str">
        <f ca="1">IFERROR(IF(VLOOKUP(C38,VerifiableOrg.csv!B:G,6)="-","-","VOC"),"-")</f>
        <v>VOC</v>
      </c>
      <c r="B38">
        <f t="shared" si="8"/>
        <v>37</v>
      </c>
      <c r="C38" s="3">
        <f t="shared" ca="1" si="0"/>
        <v>11</v>
      </c>
      <c r="D38" s="3">
        <f t="shared" ca="1" si="1"/>
        <v>3</v>
      </c>
      <c r="E38" s="3">
        <f t="shared" ca="1" si="2"/>
        <v>3</v>
      </c>
      <c r="F38" t="s">
        <v>13</v>
      </c>
      <c r="G38" t="str">
        <f t="shared" ca="1" si="5"/>
        <v>'2009-12-10</v>
      </c>
      <c r="H38" t="s">
        <v>13</v>
      </c>
      <c r="I38" t="str">
        <f t="shared" ca="1" si="6"/>
        <v>N/A</v>
      </c>
      <c r="J38" t="str">
        <f t="shared" ca="1" si="7"/>
        <v>rg:None</v>
      </c>
      <c r="K38">
        <f t="shared" si="9"/>
        <v>37</v>
      </c>
    </row>
    <row r="39" spans="1:11" x14ac:dyDescent="0.3">
      <c r="A39" t="str">
        <f ca="1">IFERROR(IF(VLOOKUP(C39,VerifiableOrg.csv!B:G,6)="-","-","VOC"),"-")</f>
        <v>VOC</v>
      </c>
      <c r="B39">
        <f t="shared" si="8"/>
        <v>38</v>
      </c>
      <c r="C39" s="3">
        <f t="shared" ca="1" si="0"/>
        <v>11</v>
      </c>
      <c r="D39" s="3">
        <f t="shared" ca="1" si="1"/>
        <v>2</v>
      </c>
      <c r="E39" s="3">
        <f t="shared" ca="1" si="2"/>
        <v>4</v>
      </c>
      <c r="F39" t="s">
        <v>13</v>
      </c>
      <c r="G39" t="str">
        <f t="shared" ca="1" si="5"/>
        <v>'2004-03-23</v>
      </c>
      <c r="H39" t="s">
        <v>13</v>
      </c>
      <c r="I39">
        <f t="shared" ca="1" si="6"/>
        <v>1</v>
      </c>
      <c r="J39">
        <f t="shared" ca="1" si="7"/>
        <v>1</v>
      </c>
      <c r="K39">
        <f t="shared" si="9"/>
        <v>38</v>
      </c>
    </row>
    <row r="40" spans="1:11" x14ac:dyDescent="0.3">
      <c r="A40" t="str">
        <f ca="1">IFERROR(IF(VLOOKUP(C40,VerifiableOrg.csv!B:G,6)="-","-","VOC"),"-")</f>
        <v>VOC</v>
      </c>
      <c r="B40">
        <f t="shared" si="8"/>
        <v>39</v>
      </c>
      <c r="C40" s="3">
        <f t="shared" ca="1" si="0"/>
        <v>11</v>
      </c>
      <c r="D40" s="3">
        <f t="shared" ca="1" si="1"/>
        <v>1</v>
      </c>
      <c r="E40" s="3">
        <f t="shared" ca="1" si="2"/>
        <v>5</v>
      </c>
      <c r="F40" t="s">
        <v>13</v>
      </c>
      <c r="G40" t="str">
        <f t="shared" ca="1" si="5"/>
        <v>'2010-09-08</v>
      </c>
      <c r="H40" t="s">
        <v>13</v>
      </c>
      <c r="I40" t="str">
        <f t="shared" ca="1" si="6"/>
        <v>N/A</v>
      </c>
      <c r="J40" t="str">
        <f t="shared" ca="1" si="7"/>
        <v>rg:None</v>
      </c>
      <c r="K40">
        <f t="shared" si="9"/>
        <v>39</v>
      </c>
    </row>
    <row r="41" spans="1:11" x14ac:dyDescent="0.3">
      <c r="A41" t="str">
        <f ca="1">IFERROR(IF(VLOOKUP(C41,VerifiableOrg.csv!B:G,6)="-","-","VOC"),"-")</f>
        <v>VOC</v>
      </c>
      <c r="B41">
        <f t="shared" si="8"/>
        <v>40</v>
      </c>
      <c r="C41" s="3">
        <f t="shared" ref="C41:C57" ca="1" si="10">IF(ISNUMBER(C40),IF(D40=1,C40+1,C40),1)</f>
        <v>12</v>
      </c>
      <c r="D41" s="3">
        <f t="shared" ref="D41:D57" ca="1" si="11">IF(C41&lt;&gt;C40,RANDBETWEEN(1,5),D40-1)</f>
        <v>1</v>
      </c>
      <c r="E41" s="3">
        <f t="shared" ref="E41:E57" ca="1" si="12">IF(C41=C40,E40+1,1)</f>
        <v>1</v>
      </c>
      <c r="F41" t="s">
        <v>13</v>
      </c>
      <c r="G41" t="str">
        <f t="shared" ca="1" si="5"/>
        <v>'2004-12-28</v>
      </c>
      <c r="H41" t="s">
        <v>13</v>
      </c>
      <c r="I41">
        <f t="shared" ca="1" si="6"/>
        <v>1</v>
      </c>
      <c r="J41">
        <f t="shared" ca="1" si="7"/>
        <v>1</v>
      </c>
      <c r="K41">
        <f t="shared" ref="K41:K58" si="13">B41</f>
        <v>40</v>
      </c>
    </row>
    <row r="42" spans="1:11" x14ac:dyDescent="0.3">
      <c r="A42" t="str">
        <f ca="1">IFERROR(IF(VLOOKUP(C42,VerifiableOrg.csv!B:G,6)="-","-","VOC"),"-")</f>
        <v>VOC</v>
      </c>
      <c r="B42">
        <f t="shared" si="8"/>
        <v>41</v>
      </c>
      <c r="C42" s="3">
        <f t="shared" ca="1" si="10"/>
        <v>13</v>
      </c>
      <c r="D42" s="3">
        <f t="shared" ca="1" si="11"/>
        <v>2</v>
      </c>
      <c r="E42" s="3">
        <f t="shared" ca="1" si="12"/>
        <v>1</v>
      </c>
      <c r="F42" t="s">
        <v>13</v>
      </c>
      <c r="G42" t="str">
        <f t="shared" ca="1" si="5"/>
        <v>'2006-08-05</v>
      </c>
      <c r="H42" t="s">
        <v>13</v>
      </c>
      <c r="I42" t="str">
        <f t="shared" ca="1" si="6"/>
        <v>N/A</v>
      </c>
      <c r="J42" t="str">
        <f t="shared" ca="1" si="7"/>
        <v>rg:None</v>
      </c>
      <c r="K42">
        <f t="shared" si="13"/>
        <v>41</v>
      </c>
    </row>
    <row r="43" spans="1:11" x14ac:dyDescent="0.3">
      <c r="A43" t="str">
        <f ca="1">IFERROR(IF(VLOOKUP(C43,VerifiableOrg.csv!B:G,6)="-","-","VOC"),"-")</f>
        <v>VOC</v>
      </c>
      <c r="B43">
        <f t="shared" si="8"/>
        <v>42</v>
      </c>
      <c r="C43" s="3">
        <f t="shared" ca="1" si="10"/>
        <v>13</v>
      </c>
      <c r="D43" s="3">
        <f t="shared" ca="1" si="11"/>
        <v>1</v>
      </c>
      <c r="E43" s="3">
        <f t="shared" ca="1" si="12"/>
        <v>2</v>
      </c>
      <c r="F43" t="s">
        <v>13</v>
      </c>
      <c r="G43" t="str">
        <f t="shared" ca="1" si="5"/>
        <v>'2009-03-18</v>
      </c>
      <c r="H43" t="s">
        <v>13</v>
      </c>
      <c r="I43" t="str">
        <f t="shared" ca="1" si="6"/>
        <v>N/A</v>
      </c>
      <c r="J43" t="str">
        <f t="shared" ca="1" si="7"/>
        <v>rg:None</v>
      </c>
      <c r="K43">
        <f t="shared" si="13"/>
        <v>42</v>
      </c>
    </row>
    <row r="44" spans="1:11" x14ac:dyDescent="0.3">
      <c r="A44" t="str">
        <f ca="1">IFERROR(IF(VLOOKUP(C44,VerifiableOrg.csv!B:G,6)="-","-","VOC"),"-")</f>
        <v>-</v>
      </c>
      <c r="B44">
        <f t="shared" si="8"/>
        <v>43</v>
      </c>
      <c r="C44" s="3">
        <f t="shared" ca="1" si="10"/>
        <v>14</v>
      </c>
      <c r="D44" s="3">
        <f t="shared" ca="1" si="11"/>
        <v>3</v>
      </c>
      <c r="E44" s="3">
        <f t="shared" ca="1" si="12"/>
        <v>1</v>
      </c>
      <c r="F44" t="s">
        <v>13</v>
      </c>
      <c r="G44" t="str">
        <f t="shared" ca="1" si="5"/>
        <v>'2008-11-12</v>
      </c>
      <c r="H44" t="s">
        <v>13</v>
      </c>
      <c r="I44" t="str">
        <f t="shared" ca="1" si="6"/>
        <v>N/A</v>
      </c>
      <c r="J44" t="str">
        <f t="shared" ca="1" si="7"/>
        <v>rg:None</v>
      </c>
      <c r="K44">
        <f t="shared" si="13"/>
        <v>43</v>
      </c>
    </row>
    <row r="45" spans="1:11" x14ac:dyDescent="0.3">
      <c r="A45" t="str">
        <f ca="1">IFERROR(IF(VLOOKUP(C45,VerifiableOrg.csv!B:G,6)="-","-","VOC"),"-")</f>
        <v>-</v>
      </c>
      <c r="B45">
        <f t="shared" si="8"/>
        <v>44</v>
      </c>
      <c r="C45" s="3">
        <f t="shared" ca="1" si="10"/>
        <v>14</v>
      </c>
      <c r="D45" s="3">
        <f t="shared" ca="1" si="11"/>
        <v>2</v>
      </c>
      <c r="E45" s="3">
        <f t="shared" ca="1" si="12"/>
        <v>2</v>
      </c>
      <c r="F45" t="s">
        <v>13</v>
      </c>
      <c r="G45" t="str">
        <f t="shared" ca="1" si="5"/>
        <v>'2017-07-11</v>
      </c>
      <c r="H45" t="s">
        <v>13</v>
      </c>
      <c r="I45" t="str">
        <f t="shared" ca="1" si="6"/>
        <v>N/A</v>
      </c>
      <c r="J45" t="str">
        <f t="shared" ca="1" si="7"/>
        <v>rg:None</v>
      </c>
      <c r="K45">
        <f t="shared" si="13"/>
        <v>44</v>
      </c>
    </row>
    <row r="46" spans="1:11" x14ac:dyDescent="0.3">
      <c r="A46" t="str">
        <f ca="1">IFERROR(IF(VLOOKUP(C46,VerifiableOrg.csv!B:G,6)="-","-","VOC"),"-")</f>
        <v>-</v>
      </c>
      <c r="B46">
        <f t="shared" si="8"/>
        <v>45</v>
      </c>
      <c r="C46" s="3">
        <f t="shared" ca="1" si="10"/>
        <v>14</v>
      </c>
      <c r="D46" s="3">
        <f t="shared" ca="1" si="11"/>
        <v>1</v>
      </c>
      <c r="E46" s="3">
        <f t="shared" ca="1" si="12"/>
        <v>3</v>
      </c>
      <c r="F46" t="s">
        <v>13</v>
      </c>
      <c r="G46" t="str">
        <f t="shared" ca="1" si="5"/>
        <v>'2010-04-11</v>
      </c>
      <c r="H46" t="s">
        <v>13</v>
      </c>
      <c r="I46" t="str">
        <f t="shared" ca="1" si="6"/>
        <v>N/A</v>
      </c>
      <c r="J46" t="str">
        <f t="shared" ca="1" si="7"/>
        <v>rg:None</v>
      </c>
      <c r="K46">
        <f t="shared" si="13"/>
        <v>45</v>
      </c>
    </row>
    <row r="47" spans="1:11" x14ac:dyDescent="0.3">
      <c r="A47" t="str">
        <f ca="1">IFERROR(IF(VLOOKUP(C47,VerifiableOrg.csv!B:G,6)="-","-","VOC"),"-")</f>
        <v>-</v>
      </c>
      <c r="B47">
        <f t="shared" si="8"/>
        <v>46</v>
      </c>
      <c r="C47" s="3">
        <f t="shared" ca="1" si="10"/>
        <v>15</v>
      </c>
      <c r="D47" s="3">
        <f t="shared" ca="1" si="11"/>
        <v>1</v>
      </c>
      <c r="E47" s="3">
        <f t="shared" ca="1" si="12"/>
        <v>1</v>
      </c>
      <c r="F47" t="s">
        <v>13</v>
      </c>
      <c r="G47" t="str">
        <f t="shared" ca="1" si="5"/>
        <v>'2009-11-13</v>
      </c>
      <c r="H47" t="s">
        <v>13</v>
      </c>
      <c r="I47" t="str">
        <f t="shared" ca="1" si="6"/>
        <v>N/A</v>
      </c>
      <c r="J47" t="str">
        <f t="shared" ca="1" si="7"/>
        <v>rg:None</v>
      </c>
      <c r="K47">
        <f t="shared" si="13"/>
        <v>46</v>
      </c>
    </row>
    <row r="48" spans="1:11" x14ac:dyDescent="0.3">
      <c r="A48" t="str">
        <f ca="1">IFERROR(IF(VLOOKUP(C48,VerifiableOrg.csv!B:G,6)="-","-","VOC"),"-")</f>
        <v>-</v>
      </c>
      <c r="B48">
        <f t="shared" si="8"/>
        <v>47</v>
      </c>
      <c r="C48" s="3">
        <f t="shared" ca="1" si="10"/>
        <v>16</v>
      </c>
      <c r="D48" s="3">
        <f t="shared" ca="1" si="11"/>
        <v>2</v>
      </c>
      <c r="E48" s="3">
        <f t="shared" ca="1" si="12"/>
        <v>1</v>
      </c>
      <c r="F48" t="s">
        <v>13</v>
      </c>
      <c r="G48" t="str">
        <f t="shared" ca="1" si="5"/>
        <v>'2008-07-06</v>
      </c>
      <c r="H48" t="s">
        <v>13</v>
      </c>
      <c r="I48" t="str">
        <f t="shared" ca="1" si="6"/>
        <v>N/A</v>
      </c>
      <c r="J48" t="str">
        <f t="shared" ca="1" si="7"/>
        <v>rg:None</v>
      </c>
      <c r="K48">
        <f t="shared" si="13"/>
        <v>47</v>
      </c>
    </row>
    <row r="49" spans="1:11" x14ac:dyDescent="0.3">
      <c r="A49" t="str">
        <f ca="1">IFERROR(IF(VLOOKUP(C49,VerifiableOrg.csv!B:G,6)="-","-","VOC"),"-")</f>
        <v>-</v>
      </c>
      <c r="B49">
        <f t="shared" si="8"/>
        <v>48</v>
      </c>
      <c r="C49" s="3">
        <f t="shared" ca="1" si="10"/>
        <v>16</v>
      </c>
      <c r="D49" s="3">
        <f t="shared" ca="1" si="11"/>
        <v>1</v>
      </c>
      <c r="E49" s="3">
        <f t="shared" ca="1" si="12"/>
        <v>2</v>
      </c>
      <c r="F49" t="s">
        <v>13</v>
      </c>
      <c r="G49" t="str">
        <f t="shared" ca="1" si="5"/>
        <v>'2010-09-07</v>
      </c>
      <c r="H49" t="s">
        <v>13</v>
      </c>
      <c r="I49" t="str">
        <f t="shared" ca="1" si="6"/>
        <v>N/A</v>
      </c>
      <c r="J49" t="str">
        <f t="shared" ca="1" si="7"/>
        <v>rg:None</v>
      </c>
      <c r="K49">
        <f t="shared" si="13"/>
        <v>48</v>
      </c>
    </row>
    <row r="50" spans="1:11" x14ac:dyDescent="0.3">
      <c r="A50" t="str">
        <f ca="1">IFERROR(IF(VLOOKUP(C50,VerifiableOrg.csv!B:G,6)="-","-","VOC"),"-")</f>
        <v>-</v>
      </c>
      <c r="B50">
        <f t="shared" si="8"/>
        <v>49</v>
      </c>
      <c r="C50" s="3">
        <f t="shared" ca="1" si="10"/>
        <v>17</v>
      </c>
      <c r="D50" s="3">
        <f t="shared" ca="1" si="11"/>
        <v>3</v>
      </c>
      <c r="E50" s="3">
        <f t="shared" ca="1" si="12"/>
        <v>1</v>
      </c>
      <c r="F50" t="s">
        <v>13</v>
      </c>
      <c r="G50" t="str">
        <f t="shared" ca="1" si="5"/>
        <v>'2007-12-25</v>
      </c>
      <c r="H50" t="s">
        <v>13</v>
      </c>
      <c r="I50" t="str">
        <f t="shared" ca="1" si="6"/>
        <v>N/A</v>
      </c>
      <c r="J50" t="str">
        <f t="shared" ca="1" si="7"/>
        <v>rg:None</v>
      </c>
      <c r="K50">
        <f t="shared" si="13"/>
        <v>49</v>
      </c>
    </row>
    <row r="51" spans="1:11" x14ac:dyDescent="0.3">
      <c r="A51" t="str">
        <f ca="1">IFERROR(IF(VLOOKUP(C51,VerifiableOrg.csv!B:G,6)="-","-","VOC"),"-")</f>
        <v>-</v>
      </c>
      <c r="B51">
        <f t="shared" si="8"/>
        <v>50</v>
      </c>
      <c r="C51" s="3">
        <f t="shared" ca="1" si="10"/>
        <v>17</v>
      </c>
      <c r="D51" s="3">
        <f t="shared" ca="1" si="11"/>
        <v>2</v>
      </c>
      <c r="E51" s="3">
        <f t="shared" ca="1" si="12"/>
        <v>2</v>
      </c>
      <c r="F51" t="s">
        <v>13</v>
      </c>
      <c r="G51" t="str">
        <f t="shared" ca="1" si="5"/>
        <v>'2017-06-06</v>
      </c>
      <c r="H51" t="s">
        <v>13</v>
      </c>
      <c r="I51" t="str">
        <f t="shared" ca="1" si="6"/>
        <v>N/A</v>
      </c>
      <c r="J51" t="str">
        <f t="shared" ca="1" si="7"/>
        <v>rg:None</v>
      </c>
      <c r="K51">
        <f t="shared" si="13"/>
        <v>50</v>
      </c>
    </row>
    <row r="52" spans="1:11" x14ac:dyDescent="0.3">
      <c r="A52" t="str">
        <f ca="1">IFERROR(IF(VLOOKUP(C52,VerifiableOrg.csv!B:G,6)="-","-","VOC"),"-")</f>
        <v>-</v>
      </c>
      <c r="B52">
        <f t="shared" si="8"/>
        <v>51</v>
      </c>
      <c r="C52" s="3">
        <f t="shared" ca="1" si="10"/>
        <v>17</v>
      </c>
      <c r="D52" s="3">
        <f t="shared" ca="1" si="11"/>
        <v>1</v>
      </c>
      <c r="E52" s="3">
        <f t="shared" ca="1" si="12"/>
        <v>3</v>
      </c>
      <c r="F52" t="s">
        <v>13</v>
      </c>
      <c r="G52" t="str">
        <f t="shared" ca="1" si="5"/>
        <v>'2004-06-20</v>
      </c>
      <c r="H52" t="s">
        <v>13</v>
      </c>
      <c r="I52">
        <f t="shared" ca="1" si="6"/>
        <v>1</v>
      </c>
      <c r="J52">
        <f t="shared" ca="1" si="7"/>
        <v>1</v>
      </c>
      <c r="K52">
        <f t="shared" si="13"/>
        <v>51</v>
      </c>
    </row>
    <row r="53" spans="1:11" x14ac:dyDescent="0.3">
      <c r="A53" t="str">
        <f ca="1">IFERROR(IF(VLOOKUP(C53,VerifiableOrg.csv!B:G,6)="-","-","VOC"),"-")</f>
        <v>-</v>
      </c>
      <c r="B53">
        <f t="shared" si="8"/>
        <v>52</v>
      </c>
      <c r="C53" s="3">
        <f t="shared" ca="1" si="10"/>
        <v>18</v>
      </c>
      <c r="D53" s="3">
        <f t="shared" ca="1" si="11"/>
        <v>4</v>
      </c>
      <c r="E53" s="3">
        <f t="shared" ca="1" si="12"/>
        <v>1</v>
      </c>
      <c r="F53" t="s">
        <v>13</v>
      </c>
      <c r="G53" t="str">
        <f t="shared" ca="1" si="5"/>
        <v>'2008-03-17</v>
      </c>
      <c r="H53" t="s">
        <v>13</v>
      </c>
      <c r="I53" t="str">
        <f t="shared" ca="1" si="6"/>
        <v>N/A</v>
      </c>
      <c r="J53" t="str">
        <f t="shared" ca="1" si="7"/>
        <v>rg:None</v>
      </c>
      <c r="K53">
        <f t="shared" si="13"/>
        <v>52</v>
      </c>
    </row>
    <row r="54" spans="1:11" x14ac:dyDescent="0.3">
      <c r="A54" t="str">
        <f ca="1">IFERROR(IF(VLOOKUP(C54,VerifiableOrg.csv!B:G,6)="-","-","VOC"),"-")</f>
        <v>-</v>
      </c>
      <c r="B54">
        <f t="shared" si="8"/>
        <v>53</v>
      </c>
      <c r="C54" s="3">
        <f t="shared" ca="1" si="10"/>
        <v>18</v>
      </c>
      <c r="D54" s="3">
        <f t="shared" ca="1" si="11"/>
        <v>3</v>
      </c>
      <c r="E54" s="3">
        <f t="shared" ca="1" si="12"/>
        <v>2</v>
      </c>
      <c r="F54" t="s">
        <v>13</v>
      </c>
      <c r="G54" t="str">
        <f t="shared" ca="1" si="5"/>
        <v>'2006-11-24</v>
      </c>
      <c r="H54" t="s">
        <v>13</v>
      </c>
      <c r="I54" t="str">
        <f t="shared" ca="1" si="6"/>
        <v>N/A</v>
      </c>
      <c r="J54" t="str">
        <f t="shared" ca="1" si="7"/>
        <v>rg:None</v>
      </c>
      <c r="K54">
        <f t="shared" si="13"/>
        <v>53</v>
      </c>
    </row>
    <row r="55" spans="1:11" x14ac:dyDescent="0.3">
      <c r="A55" t="str">
        <f ca="1">IFERROR(IF(VLOOKUP(C55,VerifiableOrg.csv!B:G,6)="-","-","VOC"),"-")</f>
        <v>-</v>
      </c>
      <c r="B55">
        <f t="shared" si="8"/>
        <v>54</v>
      </c>
      <c r="C55" s="3">
        <f t="shared" ca="1" si="10"/>
        <v>18</v>
      </c>
      <c r="D55" s="3">
        <f t="shared" ca="1" si="11"/>
        <v>2</v>
      </c>
      <c r="E55" s="3">
        <f t="shared" ca="1" si="12"/>
        <v>3</v>
      </c>
      <c r="F55" t="s">
        <v>13</v>
      </c>
      <c r="G55" t="str">
        <f t="shared" ca="1" si="5"/>
        <v>'2017-09-08</v>
      </c>
      <c r="H55" t="s">
        <v>13</v>
      </c>
      <c r="I55" t="str">
        <f t="shared" ca="1" si="6"/>
        <v>N/A</v>
      </c>
      <c r="J55" t="str">
        <f t="shared" ca="1" si="7"/>
        <v>rg:None</v>
      </c>
      <c r="K55">
        <f t="shared" si="13"/>
        <v>54</v>
      </c>
    </row>
    <row r="56" spans="1:11" x14ac:dyDescent="0.3">
      <c r="A56" t="str">
        <f ca="1">IFERROR(IF(VLOOKUP(C56,VerifiableOrg.csv!B:G,6)="-","-","VOC"),"-")</f>
        <v>-</v>
      </c>
      <c r="B56">
        <f t="shared" si="8"/>
        <v>55</v>
      </c>
      <c r="C56" s="3">
        <f t="shared" ca="1" si="10"/>
        <v>18</v>
      </c>
      <c r="D56" s="3">
        <f t="shared" ca="1" si="11"/>
        <v>1</v>
      </c>
      <c r="E56" s="3">
        <f t="shared" ca="1" si="12"/>
        <v>4</v>
      </c>
      <c r="F56" t="s">
        <v>13</v>
      </c>
      <c r="G56" t="str">
        <f t="shared" ca="1" si="5"/>
        <v>'2009-08-20</v>
      </c>
      <c r="H56" t="s">
        <v>13</v>
      </c>
      <c r="I56">
        <f t="shared" ca="1" si="6"/>
        <v>2</v>
      </c>
      <c r="J56">
        <f t="shared" ca="1" si="7"/>
        <v>2</v>
      </c>
      <c r="K56">
        <f t="shared" si="13"/>
        <v>55</v>
      </c>
    </row>
    <row r="57" spans="1:11" x14ac:dyDescent="0.3">
      <c r="A57" t="str">
        <f ca="1">IFERROR(IF(VLOOKUP(C57,VerifiableOrg.csv!B:G,6)="-","-","VOC"),"-")</f>
        <v>-</v>
      </c>
      <c r="B57">
        <f t="shared" si="8"/>
        <v>56</v>
      </c>
      <c r="C57" s="3">
        <f t="shared" ca="1" si="10"/>
        <v>19</v>
      </c>
      <c r="D57" s="3">
        <f t="shared" ca="1" si="11"/>
        <v>3</v>
      </c>
      <c r="E57" s="3">
        <f t="shared" ca="1" si="12"/>
        <v>1</v>
      </c>
      <c r="F57" t="s">
        <v>13</v>
      </c>
      <c r="G57" t="str">
        <f t="shared" ca="1" si="5"/>
        <v>'2016-08-26</v>
      </c>
      <c r="H57" t="s">
        <v>13</v>
      </c>
      <c r="I57" t="str">
        <f t="shared" ca="1" si="6"/>
        <v>N/A</v>
      </c>
      <c r="J57" t="str">
        <f t="shared" ca="1" si="7"/>
        <v>rg:None</v>
      </c>
      <c r="K57">
        <f t="shared" si="13"/>
        <v>56</v>
      </c>
    </row>
    <row r="58" spans="1:11" x14ac:dyDescent="0.3">
      <c r="A58" t="str">
        <f ca="1">IFERROR(IF(VLOOKUP(C58,VerifiableOrg.csv!B:G,6)="-","-","VOC"),"-")</f>
        <v>-</v>
      </c>
      <c r="B58">
        <f t="shared" si="8"/>
        <v>57</v>
      </c>
      <c r="C58" s="3">
        <f ca="1">IF(ISNUMBER(C57),IF(D57=1,C57+1,C57),1)</f>
        <v>19</v>
      </c>
      <c r="D58" s="3">
        <f ca="1">IF(C58&lt;&gt;C57,RANDBETWEEN(1,5),D57-1)</f>
        <v>2</v>
      </c>
      <c r="E58" s="3">
        <f ca="1">IF(C58=C57,E57+1,1)</f>
        <v>2</v>
      </c>
      <c r="F58" t="s">
        <v>13</v>
      </c>
      <c r="G58" t="str">
        <f t="shared" ca="1" si="5"/>
        <v>'2010-12-21</v>
      </c>
      <c r="H58" t="s">
        <v>13</v>
      </c>
      <c r="I58" t="str">
        <f t="shared" ca="1" si="6"/>
        <v>N/A</v>
      </c>
      <c r="J58" t="str">
        <f t="shared" ca="1" si="7"/>
        <v>rg:None</v>
      </c>
      <c r="K58">
        <f t="shared" si="13"/>
        <v>57</v>
      </c>
    </row>
    <row r="59" spans="1:11" x14ac:dyDescent="0.3">
      <c r="A59" t="str">
        <f ca="1">IFERROR(IF(VLOOKUP(C59,VerifiableOrg.csv!B:G,6)="-","-","VOC"),"-")</f>
        <v>-</v>
      </c>
      <c r="B59">
        <f t="shared" si="8"/>
        <v>58</v>
      </c>
      <c r="C59" s="3">
        <f t="shared" ref="C59:C68" ca="1" si="14">IF(ISNUMBER(C58),IF(D58=1,C58+1,C58),1)</f>
        <v>19</v>
      </c>
      <c r="D59" s="3">
        <f t="shared" ref="D59:D68" ca="1" si="15">IF(C59&lt;&gt;C58,RANDBETWEEN(1,5),D58-1)</f>
        <v>1</v>
      </c>
      <c r="E59" s="3">
        <f t="shared" ref="E59:E68" ca="1" si="16">IF(C59=C58,E58+1,1)</f>
        <v>3</v>
      </c>
      <c r="F59" t="s">
        <v>13</v>
      </c>
      <c r="G59" t="str">
        <f t="shared" ca="1" si="5"/>
        <v>'2017-07-21</v>
      </c>
      <c r="H59" t="s">
        <v>13</v>
      </c>
      <c r="I59" t="str">
        <f t="shared" ca="1" si="6"/>
        <v>N/A</v>
      </c>
      <c r="J59" t="str">
        <f t="shared" ca="1" si="7"/>
        <v>rg:None</v>
      </c>
      <c r="K59">
        <f t="shared" ref="K59:K68" si="17">B59</f>
        <v>58</v>
      </c>
    </row>
    <row r="60" spans="1:11" x14ac:dyDescent="0.3">
      <c r="A60" t="str">
        <f ca="1">IFERROR(IF(VLOOKUP(C60,VerifiableOrg.csv!B:G,6)="-","-","VOC"),"-")</f>
        <v>-</v>
      </c>
      <c r="B60">
        <f t="shared" si="8"/>
        <v>59</v>
      </c>
      <c r="C60" s="3">
        <f t="shared" ca="1" si="14"/>
        <v>20</v>
      </c>
      <c r="D60" s="3">
        <f t="shared" ca="1" si="15"/>
        <v>5</v>
      </c>
      <c r="E60" s="3">
        <f t="shared" ca="1" si="16"/>
        <v>1</v>
      </c>
      <c r="F60" t="s">
        <v>13</v>
      </c>
      <c r="G60" t="str">
        <f t="shared" ca="1" si="5"/>
        <v>'2009-02-07</v>
      </c>
      <c r="H60" t="s">
        <v>13</v>
      </c>
      <c r="I60">
        <f t="shared" ca="1" si="6"/>
        <v>2</v>
      </c>
      <c r="J60">
        <f t="shared" ca="1" si="7"/>
        <v>2</v>
      </c>
      <c r="K60">
        <f t="shared" si="17"/>
        <v>59</v>
      </c>
    </row>
    <row r="61" spans="1:11" x14ac:dyDescent="0.3">
      <c r="A61" t="str">
        <f ca="1">IFERROR(IF(VLOOKUP(C61,VerifiableOrg.csv!B:G,6)="-","-","VOC"),"-")</f>
        <v>-</v>
      </c>
      <c r="B61">
        <f t="shared" si="8"/>
        <v>60</v>
      </c>
      <c r="C61" s="3">
        <f t="shared" ca="1" si="14"/>
        <v>20</v>
      </c>
      <c r="D61" s="3">
        <f t="shared" ca="1" si="15"/>
        <v>4</v>
      </c>
      <c r="E61" s="3">
        <f t="shared" ca="1" si="16"/>
        <v>2</v>
      </c>
      <c r="F61" t="s">
        <v>13</v>
      </c>
      <c r="G61" t="str">
        <f t="shared" ca="1" si="5"/>
        <v>'2008-12-15</v>
      </c>
      <c r="H61" t="s">
        <v>13</v>
      </c>
      <c r="I61" t="str">
        <f t="shared" ca="1" si="6"/>
        <v>N/A</v>
      </c>
      <c r="J61" t="str">
        <f t="shared" ca="1" si="7"/>
        <v>rg:None</v>
      </c>
      <c r="K61">
        <f t="shared" si="17"/>
        <v>60</v>
      </c>
    </row>
    <row r="62" spans="1:11" x14ac:dyDescent="0.3">
      <c r="A62" t="str">
        <f ca="1">IFERROR(IF(VLOOKUP(C62,VerifiableOrg.csv!B:G,6)="-","-","VOC"),"-")</f>
        <v>-</v>
      </c>
      <c r="B62">
        <f t="shared" si="8"/>
        <v>61</v>
      </c>
      <c r="C62" s="3">
        <f t="shared" ca="1" si="14"/>
        <v>20</v>
      </c>
      <c r="D62" s="3">
        <f t="shared" ca="1" si="15"/>
        <v>3</v>
      </c>
      <c r="E62" s="3">
        <f t="shared" ca="1" si="16"/>
        <v>3</v>
      </c>
      <c r="F62" t="s">
        <v>13</v>
      </c>
      <c r="G62" t="str">
        <f t="shared" ca="1" si="5"/>
        <v>'2008-07-12</v>
      </c>
      <c r="H62" t="s">
        <v>13</v>
      </c>
      <c r="I62" t="str">
        <f t="shared" ca="1" si="6"/>
        <v>N/A</v>
      </c>
      <c r="J62" t="str">
        <f t="shared" ca="1" si="7"/>
        <v>rg:None</v>
      </c>
      <c r="K62">
        <f t="shared" si="17"/>
        <v>61</v>
      </c>
    </row>
    <row r="63" spans="1:11" x14ac:dyDescent="0.3">
      <c r="A63" t="str">
        <f ca="1">IFERROR(IF(VLOOKUP(C63,VerifiableOrg.csv!B:G,6)="-","-","VOC"),"-")</f>
        <v>-</v>
      </c>
      <c r="B63">
        <f t="shared" si="8"/>
        <v>62</v>
      </c>
      <c r="C63" s="3">
        <f t="shared" ca="1" si="14"/>
        <v>20</v>
      </c>
      <c r="D63" s="3">
        <f t="shared" ca="1" si="15"/>
        <v>2</v>
      </c>
      <c r="E63" s="3">
        <f t="shared" ca="1" si="16"/>
        <v>4</v>
      </c>
      <c r="F63" t="s">
        <v>13</v>
      </c>
      <c r="G63" t="str">
        <f t="shared" ca="1" si="5"/>
        <v>'2011-10-14</v>
      </c>
      <c r="H63" t="s">
        <v>13</v>
      </c>
      <c r="I63" t="str">
        <f t="shared" ca="1" si="6"/>
        <v>N/A</v>
      </c>
      <c r="J63" t="str">
        <f t="shared" ca="1" si="7"/>
        <v>rg:None</v>
      </c>
      <c r="K63">
        <f t="shared" si="17"/>
        <v>62</v>
      </c>
    </row>
    <row r="64" spans="1:11" x14ac:dyDescent="0.3">
      <c r="A64" t="str">
        <f ca="1">IFERROR(IF(VLOOKUP(C64,VerifiableOrg.csv!B:G,6)="-","-","VOC"),"-")</f>
        <v>-</v>
      </c>
      <c r="B64">
        <f t="shared" si="8"/>
        <v>63</v>
      </c>
      <c r="C64" s="3">
        <f t="shared" ca="1" si="14"/>
        <v>20</v>
      </c>
      <c r="D64" s="3">
        <f t="shared" ca="1" si="15"/>
        <v>1</v>
      </c>
      <c r="E64" s="3">
        <f t="shared" ca="1" si="16"/>
        <v>5</v>
      </c>
      <c r="F64" t="s">
        <v>13</v>
      </c>
      <c r="G64" t="str">
        <f t="shared" ca="1" si="5"/>
        <v>'2009-04-13</v>
      </c>
      <c r="H64" t="s">
        <v>13</v>
      </c>
      <c r="I64" t="str">
        <f t="shared" ca="1" si="6"/>
        <v>N/A</v>
      </c>
      <c r="J64" t="str">
        <f t="shared" ca="1" si="7"/>
        <v>rg:None</v>
      </c>
      <c r="K64">
        <f t="shared" si="17"/>
        <v>63</v>
      </c>
    </row>
    <row r="65" spans="1:11" x14ac:dyDescent="0.3">
      <c r="A65" t="str">
        <f ca="1">IFERROR(IF(VLOOKUP(C65,VerifiableOrg.csv!B:G,6)="-","-","VOC"),"-")</f>
        <v>-</v>
      </c>
      <c r="B65">
        <f t="shared" si="8"/>
        <v>64</v>
      </c>
      <c r="C65" s="3">
        <f t="shared" ca="1" si="14"/>
        <v>21</v>
      </c>
      <c r="D65" s="3">
        <f t="shared" ca="1" si="15"/>
        <v>4</v>
      </c>
      <c r="E65" s="3">
        <f t="shared" ca="1" si="16"/>
        <v>1</v>
      </c>
      <c r="F65" t="s">
        <v>13</v>
      </c>
      <c r="G65" t="str">
        <f t="shared" ca="1" si="5"/>
        <v>'2016-04-24</v>
      </c>
      <c r="H65" t="s">
        <v>13</v>
      </c>
      <c r="I65" t="str">
        <f t="shared" ca="1" si="6"/>
        <v>N/A</v>
      </c>
      <c r="J65" t="str">
        <f t="shared" ca="1" si="7"/>
        <v>rg:None</v>
      </c>
      <c r="K65">
        <f t="shared" si="17"/>
        <v>64</v>
      </c>
    </row>
    <row r="66" spans="1:11" x14ac:dyDescent="0.3">
      <c r="A66" t="str">
        <f ca="1">IFERROR(IF(VLOOKUP(C66,VerifiableOrg.csv!B:G,6)="-","-","VOC"),"-")</f>
        <v>-</v>
      </c>
      <c r="B66">
        <f t="shared" si="8"/>
        <v>65</v>
      </c>
      <c r="C66" s="3">
        <f t="shared" ca="1" si="14"/>
        <v>21</v>
      </c>
      <c r="D66" s="3">
        <f t="shared" ca="1" si="15"/>
        <v>3</v>
      </c>
      <c r="E66" s="3">
        <f t="shared" ca="1" si="16"/>
        <v>2</v>
      </c>
      <c r="F66" t="s">
        <v>13</v>
      </c>
      <c r="G66" t="str">
        <f t="shared" ca="1" si="5"/>
        <v>'2015-03-21</v>
      </c>
      <c r="H66" t="s">
        <v>13</v>
      </c>
      <c r="I66" t="str">
        <f t="shared" ca="1" si="6"/>
        <v>N/A</v>
      </c>
      <c r="J66" t="str">
        <f t="shared" ca="1" si="7"/>
        <v>rg:None</v>
      </c>
      <c r="K66">
        <f t="shared" si="17"/>
        <v>65</v>
      </c>
    </row>
    <row r="67" spans="1:11" x14ac:dyDescent="0.3">
      <c r="A67" t="str">
        <f ca="1">IFERROR(IF(VLOOKUP(C67,VerifiableOrg.csv!B:G,6)="-","-","VOC"),"-")</f>
        <v>-</v>
      </c>
      <c r="B67">
        <f t="shared" si="8"/>
        <v>66</v>
      </c>
      <c r="C67" s="3">
        <f t="shared" ca="1" si="14"/>
        <v>21</v>
      </c>
      <c r="D67" s="3">
        <f t="shared" ca="1" si="15"/>
        <v>2</v>
      </c>
      <c r="E67" s="3">
        <f t="shared" ca="1" si="16"/>
        <v>3</v>
      </c>
      <c r="F67" t="s">
        <v>13</v>
      </c>
      <c r="G67" t="str">
        <f t="shared" ref="G67:G68" ca="1" si="18">"'"&amp;TEXT(TODAY()-RANDBETWEEN(20,5000),"YYYY-MM-DD")</f>
        <v>'2005-10-31</v>
      </c>
      <c r="H67" t="s">
        <v>13</v>
      </c>
      <c r="I67" t="str">
        <f t="shared" ref="I67:I68" ca="1" si="19">IF(RANDBETWEEN(1,10)&gt;2,"N/A",RANDBETWEEN(1,2))</f>
        <v>N/A</v>
      </c>
      <c r="J67" t="str">
        <f t="shared" ref="J67:J68" ca="1" si="20">IF(I67="N/A","rg:None",I67)</f>
        <v>rg:None</v>
      </c>
      <c r="K67">
        <f t="shared" si="17"/>
        <v>66</v>
      </c>
    </row>
    <row r="68" spans="1:11" x14ac:dyDescent="0.3">
      <c r="A68" t="str">
        <f ca="1">IFERROR(IF(VLOOKUP(C68,VerifiableOrg.csv!B:G,6)="-","-","VOC"),"-")</f>
        <v>-</v>
      </c>
      <c r="B68">
        <f t="shared" si="8"/>
        <v>67</v>
      </c>
      <c r="C68" s="3">
        <f t="shared" ca="1" si="14"/>
        <v>21</v>
      </c>
      <c r="D68" s="3">
        <f t="shared" ca="1" si="15"/>
        <v>1</v>
      </c>
      <c r="E68" s="3">
        <f t="shared" ca="1" si="16"/>
        <v>4</v>
      </c>
      <c r="F68" t="s">
        <v>13</v>
      </c>
      <c r="G68" t="str">
        <f t="shared" ca="1" si="18"/>
        <v>'2014-12-04</v>
      </c>
      <c r="H68" t="s">
        <v>13</v>
      </c>
      <c r="I68" t="str">
        <f t="shared" ca="1" si="19"/>
        <v>N/A</v>
      </c>
      <c r="J68" t="str">
        <f t="shared" ca="1" si="20"/>
        <v>rg:None</v>
      </c>
      <c r="K68">
        <f t="shared" si="17"/>
        <v>67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9.44140625" bestFit="1" customWidth="1"/>
    <col min="6" max="6" width="12.33203125" bestFit="1" customWidth="1"/>
    <col min="7" max="7" width="40.88671875" bestFit="1" customWidth="1"/>
    <col min="8" max="8" width="12.33203125" bestFit="1" customWidth="1"/>
    <col min="9" max="9" width="8.109375" bestFit="1" customWidth="1"/>
    <col min="10" max="10" width="3.33203125" bestFit="1" customWidth="1"/>
  </cols>
  <sheetData>
    <row r="1" spans="1:10" s="2" customFormat="1" x14ac:dyDescent="0.3">
      <c r="A1" s="2" t="s">
        <v>11</v>
      </c>
      <c r="B1" s="2" t="s">
        <v>2409</v>
      </c>
      <c r="C1" s="2" t="s">
        <v>2507</v>
      </c>
      <c r="D1" s="2" t="s">
        <v>2435</v>
      </c>
      <c r="E1" s="2" t="s">
        <v>2458</v>
      </c>
      <c r="F1" s="2" t="s">
        <v>2509</v>
      </c>
      <c r="G1" s="2" t="s">
        <v>2436</v>
      </c>
      <c r="H1" s="2" t="s">
        <v>2398</v>
      </c>
      <c r="I1" s="2" t="s">
        <v>2424</v>
      </c>
      <c r="J1" s="2" t="s">
        <v>2425</v>
      </c>
    </row>
    <row r="2" spans="1:10" x14ac:dyDescent="0.3">
      <c r="A2" t="s">
        <v>2457</v>
      </c>
      <c r="B2">
        <f>IF(ISNUMBER(B1),B1+1,1)</f>
        <v>1</v>
      </c>
      <c r="C2" t="s">
        <v>2459</v>
      </c>
      <c r="D2" t="s">
        <v>13</v>
      </c>
      <c r="E2" t="s">
        <v>2456</v>
      </c>
      <c r="F2">
        <f>VLOOKUP(E2,IssuerService.csv!C:K,9,FALSE)</f>
        <v>1</v>
      </c>
      <c r="G2" s="4" t="s">
        <v>2460</v>
      </c>
      <c r="H2" t="str">
        <f>"'"&amp;TEXT("10-Oct-2010","YYYY-MM-DD")</f>
        <v>'2010-10-10</v>
      </c>
      <c r="I2" t="s">
        <v>13</v>
      </c>
      <c r="J2">
        <f>B2</f>
        <v>1</v>
      </c>
    </row>
    <row r="3" spans="1:10" x14ac:dyDescent="0.3">
      <c r="A3" t="s">
        <v>2457</v>
      </c>
      <c r="B3">
        <f t="shared" ref="B3:B6" si="0">IF(ISNUMBER(B2),B2+1,1)</f>
        <v>2</v>
      </c>
      <c r="C3" t="s">
        <v>2464</v>
      </c>
      <c r="D3" t="s">
        <v>13</v>
      </c>
      <c r="E3" t="s">
        <v>2464</v>
      </c>
      <c r="F3">
        <f>VLOOKUP(E3,IssuerService.csv!C:K,9,FALSE)</f>
        <v>2</v>
      </c>
      <c r="G3" s="4" t="s">
        <v>2483</v>
      </c>
      <c r="H3" t="str">
        <f t="shared" ref="H3:H6" si="1">"'"&amp;TEXT("10-Oct-2010","YYYY-MM-DD")</f>
        <v>'2010-10-10</v>
      </c>
      <c r="I3" t="s">
        <v>13</v>
      </c>
      <c r="J3">
        <f t="shared" ref="J3:J6" si="2">B3</f>
        <v>2</v>
      </c>
    </row>
    <row r="4" spans="1:10" x14ac:dyDescent="0.3">
      <c r="A4" t="s">
        <v>2457</v>
      </c>
      <c r="B4">
        <f t="shared" si="0"/>
        <v>3</v>
      </c>
      <c r="C4" t="s">
        <v>2471</v>
      </c>
      <c r="D4" t="s">
        <v>13</v>
      </c>
      <c r="E4" t="s">
        <v>2467</v>
      </c>
      <c r="F4">
        <f>VLOOKUP(E4,IssuerService.csv!C:K,9,FALSE)</f>
        <v>3</v>
      </c>
      <c r="G4" s="4" t="s">
        <v>2484</v>
      </c>
      <c r="H4" t="str">
        <f t="shared" si="1"/>
        <v>'2010-10-10</v>
      </c>
      <c r="I4" t="s">
        <v>13</v>
      </c>
      <c r="J4">
        <f t="shared" si="2"/>
        <v>3</v>
      </c>
    </row>
    <row r="5" spans="1:10" x14ac:dyDescent="0.3">
      <c r="A5" t="s">
        <v>2457</v>
      </c>
      <c r="B5">
        <f t="shared" si="0"/>
        <v>4</v>
      </c>
      <c r="C5" t="s">
        <v>2472</v>
      </c>
      <c r="D5" t="s">
        <v>13</v>
      </c>
      <c r="E5" t="s">
        <v>2467</v>
      </c>
      <c r="F5">
        <f>VLOOKUP(E5,IssuerService.csv!C:K,9,FALSE)</f>
        <v>3</v>
      </c>
      <c r="G5" s="4" t="s">
        <v>2485</v>
      </c>
      <c r="H5" t="str">
        <f t="shared" si="1"/>
        <v>'2010-10-10</v>
      </c>
      <c r="I5" t="s">
        <v>13</v>
      </c>
      <c r="J5">
        <f t="shared" si="2"/>
        <v>4</v>
      </c>
    </row>
    <row r="6" spans="1:10" x14ac:dyDescent="0.3">
      <c r="A6" t="s">
        <v>2457</v>
      </c>
      <c r="B6">
        <f t="shared" si="0"/>
        <v>5</v>
      </c>
      <c r="C6" t="s">
        <v>2473</v>
      </c>
      <c r="D6" t="s">
        <v>13</v>
      </c>
      <c r="E6" t="s">
        <v>2470</v>
      </c>
      <c r="F6">
        <f>VLOOKUP(E6,IssuerService.csv!C:K,9,FALSE)</f>
        <v>4</v>
      </c>
      <c r="G6" s="4" t="s">
        <v>2486</v>
      </c>
      <c r="H6" t="str">
        <f t="shared" si="1"/>
        <v>'2010-10-10</v>
      </c>
      <c r="I6" t="s">
        <v>13</v>
      </c>
      <c r="J6">
        <f t="shared" si="2"/>
        <v>5</v>
      </c>
    </row>
  </sheetData>
  <hyperlinks>
    <hyperlink ref="G2" r:id="rId1" xr:uid="{00000000-0004-0000-0700-000000000000}"/>
    <hyperlink ref="G3" r:id="rId2" xr:uid="{00000000-0004-0000-0700-000001000000}"/>
    <hyperlink ref="G4" r:id="rId3" xr:uid="{00000000-0004-0000-0700-000002000000}"/>
    <hyperlink ref="G5" r:id="rId4" xr:uid="{00000000-0004-0000-0700-000003000000}"/>
    <hyperlink ref="G6" r:id="rId5" xr:uid="{00000000-0004-0000-0700-000004000000}"/>
  </hyperlinks>
  <pageMargins left="0.7" right="0.7" top="0.75" bottom="0.75" header="0.3" footer="0.3"/>
  <pageSetup orientation="portrait" r:id="rId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2437</v>
      </c>
      <c r="D1" s="2" t="s">
        <v>2438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2477</v>
      </c>
      <c r="B2">
        <f>IF(ISNUMBER(B1),B1+1,1)</f>
        <v>1</v>
      </c>
      <c r="C2" t="s">
        <v>2478</v>
      </c>
      <c r="D2" t="s">
        <v>2479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2477</v>
      </c>
      <c r="B3">
        <f>IF(ISNUMBER(B2),B2+1,1)</f>
        <v>2</v>
      </c>
      <c r="C3" t="s">
        <v>2480</v>
      </c>
      <c r="D3" t="s">
        <v>2481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9.44140625" bestFit="1" customWidth="1"/>
    <col min="4" max="4" width="11.88671875" bestFit="1" customWidth="1"/>
    <col min="5" max="5" width="25.109375" bestFit="1" customWidth="1"/>
    <col min="6" max="6" width="35.33203125" bestFit="1" customWidth="1"/>
    <col min="7" max="7" width="11.109375" bestFit="1" customWidth="1"/>
    <col min="8" max="8" width="12" bestFit="1" customWidth="1"/>
    <col min="9" max="9" width="12.33203125" bestFit="1" customWidth="1"/>
    <col min="10" max="10" width="8.109375" bestFit="1" customWidth="1"/>
    <col min="11" max="11" width="3.3320312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12</v>
      </c>
      <c r="D1" s="2" t="s">
        <v>2439</v>
      </c>
      <c r="E1" s="2" t="s">
        <v>2440</v>
      </c>
      <c r="F1" s="2" t="s">
        <v>2441</v>
      </c>
      <c r="G1" s="2" t="s">
        <v>2493</v>
      </c>
      <c r="H1" s="2" t="s">
        <v>2423</v>
      </c>
      <c r="I1" s="2" t="s">
        <v>2398</v>
      </c>
      <c r="J1" s="2" t="s">
        <v>2424</v>
      </c>
      <c r="K1" s="2" t="s">
        <v>2425</v>
      </c>
    </row>
    <row r="2" spans="1:11" x14ac:dyDescent="0.3">
      <c r="A2" t="s">
        <v>2461</v>
      </c>
      <c r="B2">
        <f>IF(ISNUMBER(B1),B1+1,1)</f>
        <v>1</v>
      </c>
      <c r="C2" t="s">
        <v>2456</v>
      </c>
      <c r="D2" t="s">
        <v>2462</v>
      </c>
      <c r="E2" s="4" t="s">
        <v>2463</v>
      </c>
      <c r="F2" t="str">
        <f t="shared" ref="F2:F3" ca="1" si="0">"did:sovrin:"&amp;DEC2HEX(RANDBETWEEN(100000000,999999999))&amp;DEC2HEX(RANDBETWEEN(100000000,999999999))&amp;DEC2HEX(RANDBETWEEN(100000000,999999999))</f>
        <v>did:sovrin:2CF107E3ECD0147192C6CEB</v>
      </c>
      <c r="G2" t="s">
        <v>68</v>
      </c>
      <c r="H2">
        <f>VLOOKUP(G2,Jurisdiction.csv!C:I,7,FALSE)</f>
        <v>1</v>
      </c>
      <c r="I2" t="str">
        <f>"'"&amp;TEXT("10-Oct-2010","YYYY-MM-DD")</f>
        <v>'2010-10-10</v>
      </c>
      <c r="J2" t="s">
        <v>13</v>
      </c>
      <c r="K2">
        <f>B2</f>
        <v>1</v>
      </c>
    </row>
    <row r="3" spans="1:11" x14ac:dyDescent="0.3">
      <c r="A3" t="s">
        <v>2461</v>
      </c>
      <c r="B3">
        <f t="shared" ref="B3:B5" si="1">IF(ISNUMBER(B2),B2+1,1)</f>
        <v>2</v>
      </c>
      <c r="C3" t="s">
        <v>2464</v>
      </c>
      <c r="D3" t="s">
        <v>2466</v>
      </c>
      <c r="E3" s="4" t="s">
        <v>2465</v>
      </c>
      <c r="F3" t="str">
        <f t="shared" ca="1" si="0"/>
        <v>did:sovrin:C6ABA2F11F041DF2F99D6B1</v>
      </c>
      <c r="G3" t="s">
        <v>68</v>
      </c>
      <c r="H3">
        <f>VLOOKUP(G3,Jurisdiction.csv!C:I,7,FALSE)</f>
        <v>1</v>
      </c>
      <c r="I3" t="str">
        <f t="shared" ref="I3:I5" si="2">"'"&amp;TEXT("10-Oct-2010","YYYY-MM-DD")</f>
        <v>'2010-10-10</v>
      </c>
      <c r="J3" t="s">
        <v>13</v>
      </c>
      <c r="K3">
        <f t="shared" ref="K3:K5" si="3">B3</f>
        <v>2</v>
      </c>
    </row>
    <row r="4" spans="1:11" x14ac:dyDescent="0.3">
      <c r="A4" t="s">
        <v>2461</v>
      </c>
      <c r="B4">
        <f t="shared" ref="B4" si="4">IF(ISNUMBER(B3),B3+1,1)</f>
        <v>3</v>
      </c>
      <c r="C4" t="s">
        <v>2467</v>
      </c>
      <c r="D4" t="s">
        <v>2468</v>
      </c>
      <c r="E4" s="4" t="s">
        <v>2469</v>
      </c>
      <c r="F4" t="str">
        <f t="shared" ref="F4" ca="1" si="5">"did:sovrin:"&amp;DEC2HEX(RANDBETWEEN(100000000,999999999))&amp;DEC2HEX(RANDBETWEEN(100000000,999999999))&amp;DEC2HEX(RANDBETWEEN(100000000,999999999))</f>
        <v>did:sovrin:3A2FDB6B8F49CB7196446E3</v>
      </c>
      <c r="G4" t="s">
        <v>68</v>
      </c>
      <c r="H4">
        <f>VLOOKUP(G4,Jurisdiction.csv!C:I,7,FALSE)</f>
        <v>1</v>
      </c>
      <c r="I4" t="str">
        <f t="shared" si="2"/>
        <v>'2010-10-10</v>
      </c>
      <c r="J4" t="s">
        <v>13</v>
      </c>
      <c r="K4">
        <f t="shared" ref="K4" si="6">B4</f>
        <v>3</v>
      </c>
    </row>
    <row r="5" spans="1:11" x14ac:dyDescent="0.3">
      <c r="A5" t="s">
        <v>2461</v>
      </c>
      <c r="B5">
        <f t="shared" si="1"/>
        <v>4</v>
      </c>
      <c r="C5" t="s">
        <v>2470</v>
      </c>
      <c r="D5" t="s">
        <v>2474</v>
      </c>
      <c r="E5" s="4" t="s">
        <v>2475</v>
      </c>
      <c r="F5" t="str">
        <f ca="1">"did:sovrin:"&amp;DEC2HEX(RANDBETWEEN(100000000,999999999))&amp;DEC2HEX(RANDBETWEEN(100000000,999999999))&amp;DEC2HEX(RANDBETWEEN(100000000,999999999))</f>
        <v>did:sovrin:159C2611E8A366A753DA01</v>
      </c>
      <c r="G5" t="s">
        <v>68</v>
      </c>
      <c r="H5">
        <f>VLOOKUP(G5,Jurisdiction.csv!C:I,7,FALSE)</f>
        <v>1</v>
      </c>
      <c r="I5" t="str">
        <f t="shared" si="2"/>
        <v>'2010-10-10</v>
      </c>
      <c r="J5" t="s">
        <v>13</v>
      </c>
      <c r="K5">
        <f t="shared" si="3"/>
        <v>4</v>
      </c>
    </row>
  </sheetData>
  <hyperlinks>
    <hyperlink ref="E2" r:id="rId1" xr:uid="{00000000-0004-0000-0900-000000000000}"/>
    <hyperlink ref="E3" r:id="rId2" xr:uid="{00000000-0004-0000-0900-000001000000}"/>
    <hyperlink ref="E5" r:id="rId3" xr:uid="{00000000-0004-0000-0900-000002000000}"/>
    <hyperlink ref="E4" r:id="rId4" xr:uid="{00000000-0004-0000-0900-000003000000}"/>
  </hyperlinks>
  <pageMargins left="0.7" right="0.7" top="0.75" bottom="0.75" header="0.3" footer="0.3"/>
  <pageSetup orientation="portrait"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33203125" bestFit="1" customWidth="1"/>
    <col min="8" max="8" width="13.44140625" bestFit="1" customWidth="1"/>
    <col min="9" max="9" width="3.33203125" bestFit="1" customWidth="1"/>
  </cols>
  <sheetData>
    <row r="1" spans="1:9" s="2" customFormat="1" x14ac:dyDescent="0.3">
      <c r="A1" s="2" t="s">
        <v>11</v>
      </c>
      <c r="B1" s="2" t="s">
        <v>2409</v>
      </c>
      <c r="C1" s="2" t="s">
        <v>2494</v>
      </c>
      <c r="D1" s="2" t="s">
        <v>12</v>
      </c>
      <c r="E1" s="2" t="s">
        <v>2428</v>
      </c>
      <c r="F1" s="2" t="s">
        <v>2442</v>
      </c>
      <c r="G1" s="2" t="s">
        <v>2398</v>
      </c>
      <c r="H1" s="2" t="s">
        <v>2424</v>
      </c>
      <c r="I1" s="2" t="s">
        <v>2425</v>
      </c>
    </row>
    <row r="2" spans="1:9" x14ac:dyDescent="0.3">
      <c r="A2" t="s">
        <v>2452</v>
      </c>
      <c r="B2">
        <f>IF(ISNUMBER(B1),B1+1,1)</f>
        <v>1</v>
      </c>
      <c r="C2" t="s">
        <v>68</v>
      </c>
      <c r="D2" t="s">
        <v>2453</v>
      </c>
      <c r="E2">
        <v>1</v>
      </c>
      <c r="F2" t="s">
        <v>2401</v>
      </c>
      <c r="G2" t="str">
        <f>"'"&amp;TEXT("10-Oct-2010","YYYY-MM-DD")</f>
        <v>'2010-10-10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4" width="8.88671875" style="1"/>
    <col min="5" max="5" width="19.6640625" style="1" bestFit="1" customWidth="1"/>
    <col min="6" max="6" width="10.109375" style="1" bestFit="1" customWidth="1"/>
    <col min="7" max="7" width="10.6640625" style="1" bestFit="1" customWidth="1"/>
    <col min="8" max="8" width="30.33203125" style="1" bestFit="1" customWidth="1"/>
    <col min="9" max="9" width="12.109375" style="1" bestFit="1" customWidth="1"/>
    <col min="10" max="10" width="7.88671875" style="1" bestFit="1" customWidth="1"/>
    <col min="11" max="11" width="3.109375" style="1" bestFit="1" customWidth="1"/>
    <col min="12" max="16384" width="8.88671875" style="1"/>
  </cols>
  <sheetData>
    <row r="1" spans="1:11" s="2" customFormat="1" x14ac:dyDescent="0.3">
      <c r="A1" s="2" t="s">
        <v>11</v>
      </c>
      <c r="B1" s="2" t="s">
        <v>2409</v>
      </c>
      <c r="C1" s="2" t="s">
        <v>2488</v>
      </c>
      <c r="D1" s="2" t="s">
        <v>2489</v>
      </c>
      <c r="E1" s="2" t="s">
        <v>2490</v>
      </c>
      <c r="F1" s="2" t="s">
        <v>2405</v>
      </c>
      <c r="G1" s="2" t="s">
        <v>2404</v>
      </c>
      <c r="H1" s="2" t="s">
        <v>2403</v>
      </c>
      <c r="I1" s="2" t="s">
        <v>2398</v>
      </c>
      <c r="J1" s="2" t="s">
        <v>2424</v>
      </c>
      <c r="K1" s="2" t="s">
        <v>2425</v>
      </c>
    </row>
    <row r="2" spans="1:11" x14ac:dyDescent="0.3">
      <c r="A2" s="1" t="s">
        <v>2402</v>
      </c>
      <c r="B2">
        <f>IF(ISNUMBER(B1),B1+1,1)</f>
        <v>1</v>
      </c>
      <c r="C2" s="1" t="s">
        <v>13</v>
      </c>
      <c r="D2" s="1" t="s">
        <v>13</v>
      </c>
      <c r="E2" s="1" t="s">
        <v>2491</v>
      </c>
      <c r="F2" s="1" t="s">
        <v>90</v>
      </c>
      <c r="G2" s="1" t="s">
        <v>91</v>
      </c>
      <c r="H2" s="1" t="str">
        <f>Names!M3</f>
        <v>JudyHHolbert@gustr.com</v>
      </c>
      <c r="I2" t="str">
        <f>"'"&amp;TEXT("10-Oct-2010","YYYY-MM-DD")</f>
        <v>'2010-10-10</v>
      </c>
      <c r="J2" s="1" t="s">
        <v>13</v>
      </c>
      <c r="K2">
        <f>B2</f>
        <v>1</v>
      </c>
    </row>
    <row r="3" spans="1:11" x14ac:dyDescent="0.3">
      <c r="A3" s="1" t="s">
        <v>2402</v>
      </c>
      <c r="B3">
        <f t="shared" ref="B3:B40" si="0">IF(ISNUMBER(B2),B2+1,1)</f>
        <v>2</v>
      </c>
      <c r="C3" s="1" t="s">
        <v>13</v>
      </c>
      <c r="D3" s="1" t="s">
        <v>13</v>
      </c>
      <c r="E3" s="1" t="s">
        <v>2491</v>
      </c>
      <c r="F3" s="1" t="s">
        <v>111</v>
      </c>
      <c r="G3" s="1" t="s">
        <v>112</v>
      </c>
      <c r="H3" s="1" t="str">
        <f>Names!M4</f>
        <v>ClaytonSMcCullough@fleckens.hu</v>
      </c>
      <c r="I3" t="str">
        <f t="shared" ref="I3:I40" si="1">"'"&amp;TEXT("10-Oct-2010","YYYY-MM-DD")</f>
        <v>'2010-10-10</v>
      </c>
      <c r="J3" s="1" t="s">
        <v>13</v>
      </c>
      <c r="K3">
        <f t="shared" ref="K3:K40" si="2">B3</f>
        <v>2</v>
      </c>
    </row>
    <row r="4" spans="1:11" x14ac:dyDescent="0.3">
      <c r="A4" s="1" t="s">
        <v>2402</v>
      </c>
      <c r="B4">
        <f t="shared" si="0"/>
        <v>3</v>
      </c>
      <c r="C4" s="1" t="s">
        <v>13</v>
      </c>
      <c r="D4" s="1" t="s">
        <v>13</v>
      </c>
      <c r="E4" s="1" t="s">
        <v>2491</v>
      </c>
      <c r="F4" s="1" t="s">
        <v>131</v>
      </c>
      <c r="G4" s="1" t="s">
        <v>132</v>
      </c>
      <c r="H4" s="1" t="str">
        <f>Names!M5</f>
        <v>BettyJTacker@gustr.com</v>
      </c>
      <c r="I4" t="str">
        <f t="shared" si="1"/>
        <v>'2010-10-10</v>
      </c>
      <c r="J4" s="1" t="s">
        <v>13</v>
      </c>
      <c r="K4">
        <f t="shared" si="2"/>
        <v>3</v>
      </c>
    </row>
    <row r="5" spans="1:11" x14ac:dyDescent="0.3">
      <c r="A5" s="1" t="s">
        <v>2402</v>
      </c>
      <c r="B5">
        <f t="shared" si="0"/>
        <v>4</v>
      </c>
      <c r="C5" s="1" t="s">
        <v>13</v>
      </c>
      <c r="D5" s="1" t="s">
        <v>13</v>
      </c>
      <c r="E5" s="1" t="s">
        <v>2491</v>
      </c>
      <c r="F5" s="1" t="s">
        <v>149</v>
      </c>
      <c r="G5" s="1" t="s">
        <v>150</v>
      </c>
      <c r="H5" s="1" t="str">
        <f>Names!M6</f>
        <v>GayleCYork@dayrep.com</v>
      </c>
      <c r="I5" t="str">
        <f t="shared" si="1"/>
        <v>'2010-10-10</v>
      </c>
      <c r="J5" s="1" t="s">
        <v>13</v>
      </c>
      <c r="K5">
        <f t="shared" si="2"/>
        <v>4</v>
      </c>
    </row>
    <row r="6" spans="1:11" x14ac:dyDescent="0.3">
      <c r="A6" s="1" t="s">
        <v>2402</v>
      </c>
      <c r="B6">
        <f t="shared" si="0"/>
        <v>5</v>
      </c>
      <c r="C6" s="1" t="s">
        <v>13</v>
      </c>
      <c r="D6" s="1" t="s">
        <v>13</v>
      </c>
      <c r="E6" s="1" t="s">
        <v>2491</v>
      </c>
      <c r="F6" s="1" t="s">
        <v>168</v>
      </c>
      <c r="G6" s="1" t="s">
        <v>170</v>
      </c>
      <c r="H6" s="1" t="str">
        <f>Names!M7</f>
        <v>BrianBHealey@jourrapide.com</v>
      </c>
      <c r="I6" t="str">
        <f t="shared" si="1"/>
        <v>'2010-10-10</v>
      </c>
      <c r="J6" s="1" t="s">
        <v>13</v>
      </c>
      <c r="K6">
        <f t="shared" si="2"/>
        <v>5</v>
      </c>
    </row>
    <row r="7" spans="1:11" x14ac:dyDescent="0.3">
      <c r="A7" s="1" t="s">
        <v>2402</v>
      </c>
      <c r="B7">
        <f t="shared" si="0"/>
        <v>6</v>
      </c>
      <c r="C7" s="1" t="s">
        <v>13</v>
      </c>
      <c r="D7" s="1" t="s">
        <v>13</v>
      </c>
      <c r="E7" s="1" t="s">
        <v>2491</v>
      </c>
      <c r="F7" s="1" t="s">
        <v>186</v>
      </c>
      <c r="G7" s="1" t="s">
        <v>187</v>
      </c>
      <c r="H7" s="1" t="str">
        <f>Names!M8</f>
        <v>RosaDMayer@cuvox.de</v>
      </c>
      <c r="I7" t="str">
        <f t="shared" si="1"/>
        <v>'2010-10-10</v>
      </c>
      <c r="J7" s="1" t="s">
        <v>13</v>
      </c>
      <c r="K7">
        <f t="shared" si="2"/>
        <v>6</v>
      </c>
    </row>
    <row r="8" spans="1:11" x14ac:dyDescent="0.3">
      <c r="A8" s="1" t="s">
        <v>2402</v>
      </c>
      <c r="B8">
        <f t="shared" si="0"/>
        <v>7</v>
      </c>
      <c r="C8" s="1" t="s">
        <v>13</v>
      </c>
      <c r="D8" s="1" t="s">
        <v>13</v>
      </c>
      <c r="E8" s="1" t="s">
        <v>2491</v>
      </c>
      <c r="F8" s="1" t="s">
        <v>204</v>
      </c>
      <c r="G8" s="1" t="s">
        <v>206</v>
      </c>
      <c r="H8" s="1" t="str">
        <f>Names!M9</f>
        <v>AlbertAMills@superrito.com</v>
      </c>
      <c r="I8" t="str">
        <f t="shared" si="1"/>
        <v>'2010-10-10</v>
      </c>
      <c r="J8" s="1" t="s">
        <v>13</v>
      </c>
      <c r="K8">
        <f t="shared" si="2"/>
        <v>7</v>
      </c>
    </row>
    <row r="9" spans="1:11" x14ac:dyDescent="0.3">
      <c r="A9" s="1" t="s">
        <v>2402</v>
      </c>
      <c r="B9">
        <f t="shared" si="0"/>
        <v>8</v>
      </c>
      <c r="C9" s="1" t="s">
        <v>13</v>
      </c>
      <c r="D9" s="1" t="s">
        <v>13</v>
      </c>
      <c r="E9" s="1" t="s">
        <v>2491</v>
      </c>
      <c r="F9" s="1" t="s">
        <v>223</v>
      </c>
      <c r="G9" s="1" t="s">
        <v>225</v>
      </c>
      <c r="H9" s="1" t="str">
        <f>Names!M10</f>
        <v>CynthiaKWhipple@einrot.com</v>
      </c>
      <c r="I9" t="str">
        <f t="shared" si="1"/>
        <v>'2010-10-10</v>
      </c>
      <c r="J9" s="1" t="s">
        <v>13</v>
      </c>
      <c r="K9">
        <f t="shared" si="2"/>
        <v>8</v>
      </c>
    </row>
    <row r="10" spans="1:11" x14ac:dyDescent="0.3">
      <c r="A10" s="1" t="s">
        <v>2402</v>
      </c>
      <c r="B10">
        <f t="shared" si="0"/>
        <v>9</v>
      </c>
      <c r="C10" s="1" t="s">
        <v>13</v>
      </c>
      <c r="D10" s="1" t="s">
        <v>13</v>
      </c>
      <c r="E10" s="1" t="s">
        <v>2491</v>
      </c>
      <c r="F10" s="1" t="s">
        <v>241</v>
      </c>
      <c r="G10" s="1" t="s">
        <v>242</v>
      </c>
      <c r="H10" s="1" t="str">
        <f>Names!M11</f>
        <v>MichaelDWashington@dayrep.com</v>
      </c>
      <c r="I10" t="str">
        <f t="shared" si="1"/>
        <v>'2010-10-10</v>
      </c>
      <c r="J10" s="1" t="s">
        <v>13</v>
      </c>
      <c r="K10">
        <f t="shared" si="2"/>
        <v>9</v>
      </c>
    </row>
    <row r="11" spans="1:11" x14ac:dyDescent="0.3">
      <c r="A11" s="1" t="s">
        <v>2402</v>
      </c>
      <c r="B11">
        <f t="shared" si="0"/>
        <v>10</v>
      </c>
      <c r="C11" s="1" t="s">
        <v>13</v>
      </c>
      <c r="D11" s="1" t="s">
        <v>13</v>
      </c>
      <c r="E11" s="1" t="s">
        <v>2491</v>
      </c>
      <c r="F11" s="1" t="s">
        <v>259</v>
      </c>
      <c r="G11" s="1" t="s">
        <v>260</v>
      </c>
      <c r="H11" s="1" t="str">
        <f>Names!M12</f>
        <v>SarahKWard@teleworm.us</v>
      </c>
      <c r="I11" t="str">
        <f t="shared" si="1"/>
        <v>'2010-10-10</v>
      </c>
      <c r="J11" s="1" t="s">
        <v>13</v>
      </c>
      <c r="K11">
        <f t="shared" si="2"/>
        <v>10</v>
      </c>
    </row>
    <row r="12" spans="1:11" x14ac:dyDescent="0.3">
      <c r="A12" s="1" t="s">
        <v>2402</v>
      </c>
      <c r="B12">
        <f t="shared" si="0"/>
        <v>11</v>
      </c>
      <c r="C12" s="1" t="s">
        <v>13</v>
      </c>
      <c r="D12" s="1" t="s">
        <v>13</v>
      </c>
      <c r="E12" s="1" t="s">
        <v>2491</v>
      </c>
      <c r="F12" s="1" t="s">
        <v>277</v>
      </c>
      <c r="G12" s="1" t="s">
        <v>278</v>
      </c>
      <c r="H12" s="1" t="str">
        <f>Names!M13</f>
        <v>HarryDSolomon@armyspy.com</v>
      </c>
      <c r="I12" t="str">
        <f t="shared" si="1"/>
        <v>'2010-10-10</v>
      </c>
      <c r="J12" s="1" t="s">
        <v>13</v>
      </c>
      <c r="K12">
        <f t="shared" si="2"/>
        <v>11</v>
      </c>
    </row>
    <row r="13" spans="1:11" x14ac:dyDescent="0.3">
      <c r="A13" s="1" t="s">
        <v>2402</v>
      </c>
      <c r="B13">
        <f t="shared" si="0"/>
        <v>12</v>
      </c>
      <c r="C13" s="1" t="s">
        <v>13</v>
      </c>
      <c r="D13" s="1" t="s">
        <v>13</v>
      </c>
      <c r="E13" s="1" t="s">
        <v>2491</v>
      </c>
      <c r="F13" s="1" t="s">
        <v>295</v>
      </c>
      <c r="G13" s="1" t="s">
        <v>206</v>
      </c>
      <c r="H13" s="1" t="str">
        <f>Names!M14</f>
        <v>CherylGMills@armyspy.com</v>
      </c>
      <c r="I13" t="str">
        <f t="shared" si="1"/>
        <v>'2010-10-10</v>
      </c>
      <c r="J13" s="1" t="s">
        <v>13</v>
      </c>
      <c r="K13">
        <f t="shared" si="2"/>
        <v>12</v>
      </c>
    </row>
    <row r="14" spans="1:11" x14ac:dyDescent="0.3">
      <c r="A14" s="1" t="s">
        <v>2402</v>
      </c>
      <c r="B14">
        <f t="shared" si="0"/>
        <v>13</v>
      </c>
      <c r="C14" s="1" t="s">
        <v>13</v>
      </c>
      <c r="D14" s="1" t="s">
        <v>13</v>
      </c>
      <c r="E14" s="1" t="s">
        <v>2491</v>
      </c>
      <c r="F14" s="1" t="s">
        <v>241</v>
      </c>
      <c r="G14" s="1" t="s">
        <v>311</v>
      </c>
      <c r="H14" s="1" t="str">
        <f>Names!M15</f>
        <v>MichaelGWilkerson@gustr.com</v>
      </c>
      <c r="I14" t="str">
        <f t="shared" si="1"/>
        <v>'2010-10-10</v>
      </c>
      <c r="J14" s="1" t="s">
        <v>13</v>
      </c>
      <c r="K14">
        <f t="shared" si="2"/>
        <v>13</v>
      </c>
    </row>
    <row r="15" spans="1:11" x14ac:dyDescent="0.3">
      <c r="A15" s="1" t="s">
        <v>2402</v>
      </c>
      <c r="B15">
        <f t="shared" si="0"/>
        <v>14</v>
      </c>
      <c r="C15" s="1" t="s">
        <v>13</v>
      </c>
      <c r="D15" s="1" t="s">
        <v>13</v>
      </c>
      <c r="E15" s="1" t="s">
        <v>2491</v>
      </c>
      <c r="F15" s="1" t="s">
        <v>328</v>
      </c>
      <c r="G15" s="1" t="s">
        <v>329</v>
      </c>
      <c r="H15" s="1" t="str">
        <f>Names!M16</f>
        <v>CeliaWSchreier@jourrapide.com</v>
      </c>
      <c r="I15" t="str">
        <f t="shared" si="1"/>
        <v>'2010-10-10</v>
      </c>
      <c r="J15" s="1" t="s">
        <v>13</v>
      </c>
      <c r="K15">
        <f t="shared" si="2"/>
        <v>14</v>
      </c>
    </row>
    <row r="16" spans="1:11" x14ac:dyDescent="0.3">
      <c r="A16" s="1" t="s">
        <v>2402</v>
      </c>
      <c r="B16">
        <f t="shared" si="0"/>
        <v>15</v>
      </c>
      <c r="C16" s="1" t="s">
        <v>13</v>
      </c>
      <c r="D16" s="1" t="s">
        <v>13</v>
      </c>
      <c r="E16" s="1" t="s">
        <v>2491</v>
      </c>
      <c r="F16" s="1" t="s">
        <v>345</v>
      </c>
      <c r="G16" s="1" t="s">
        <v>346</v>
      </c>
      <c r="H16" s="1" t="str">
        <f>Names!M17</f>
        <v>LillianJWarner@teleworm.us</v>
      </c>
      <c r="I16" t="str">
        <f t="shared" si="1"/>
        <v>'2010-10-10</v>
      </c>
      <c r="J16" s="1" t="s">
        <v>13</v>
      </c>
      <c r="K16">
        <f t="shared" si="2"/>
        <v>15</v>
      </c>
    </row>
    <row r="17" spans="1:11" x14ac:dyDescent="0.3">
      <c r="A17" s="1" t="s">
        <v>2402</v>
      </c>
      <c r="B17">
        <f t="shared" si="0"/>
        <v>16</v>
      </c>
      <c r="C17" s="1" t="s">
        <v>13</v>
      </c>
      <c r="D17" s="1" t="s">
        <v>13</v>
      </c>
      <c r="E17" s="1" t="s">
        <v>2491</v>
      </c>
      <c r="F17" s="1" t="s">
        <v>362</v>
      </c>
      <c r="G17" s="1" t="s">
        <v>363</v>
      </c>
      <c r="H17" s="1" t="str">
        <f>Names!M18</f>
        <v>MarilynBNovak@jourrapide.com</v>
      </c>
      <c r="I17" t="str">
        <f t="shared" si="1"/>
        <v>'2010-10-10</v>
      </c>
      <c r="J17" s="1" t="s">
        <v>13</v>
      </c>
      <c r="K17">
        <f t="shared" si="2"/>
        <v>16</v>
      </c>
    </row>
    <row r="18" spans="1:11" x14ac:dyDescent="0.3">
      <c r="A18" s="1" t="s">
        <v>2402</v>
      </c>
      <c r="B18">
        <f t="shared" si="0"/>
        <v>17</v>
      </c>
      <c r="C18" s="1" t="s">
        <v>13</v>
      </c>
      <c r="D18" s="1" t="s">
        <v>13</v>
      </c>
      <c r="E18" s="1" t="s">
        <v>2491</v>
      </c>
      <c r="F18" s="1" t="s">
        <v>379</v>
      </c>
      <c r="G18" s="1" t="s">
        <v>380</v>
      </c>
      <c r="H18" s="1" t="str">
        <f>Names!M19</f>
        <v>JoshuaKBjork@jourrapide.com</v>
      </c>
      <c r="I18" t="str">
        <f t="shared" si="1"/>
        <v>'2010-10-10</v>
      </c>
      <c r="J18" s="1" t="s">
        <v>13</v>
      </c>
      <c r="K18">
        <f t="shared" si="2"/>
        <v>17</v>
      </c>
    </row>
    <row r="19" spans="1:11" x14ac:dyDescent="0.3">
      <c r="A19" s="1" t="s">
        <v>2402</v>
      </c>
      <c r="B19">
        <f t="shared" si="0"/>
        <v>18</v>
      </c>
      <c r="C19" s="1" t="s">
        <v>13</v>
      </c>
      <c r="D19" s="1" t="s">
        <v>13</v>
      </c>
      <c r="E19" s="1" t="s">
        <v>2491</v>
      </c>
      <c r="F19" s="1" t="s">
        <v>397</v>
      </c>
      <c r="G19" s="1" t="s">
        <v>398</v>
      </c>
      <c r="H19" s="1" t="str">
        <f>Names!M20</f>
        <v>PatriciaJRiley@dayrep.com</v>
      </c>
      <c r="I19" t="str">
        <f t="shared" si="1"/>
        <v>'2010-10-10</v>
      </c>
      <c r="J19" s="1" t="s">
        <v>13</v>
      </c>
      <c r="K19">
        <f t="shared" si="2"/>
        <v>18</v>
      </c>
    </row>
    <row r="20" spans="1:11" x14ac:dyDescent="0.3">
      <c r="A20" s="1" t="s">
        <v>2402</v>
      </c>
      <c r="B20">
        <f t="shared" si="0"/>
        <v>19</v>
      </c>
      <c r="C20" s="1" t="s">
        <v>13</v>
      </c>
      <c r="D20" s="1" t="s">
        <v>13</v>
      </c>
      <c r="E20" s="1" t="s">
        <v>2491</v>
      </c>
      <c r="F20" s="1" t="s">
        <v>414</v>
      </c>
      <c r="G20" s="1" t="s">
        <v>415</v>
      </c>
      <c r="H20" s="1" t="str">
        <f>Names!M21</f>
        <v>BeverlyWClyde@rhyta.com</v>
      </c>
      <c r="I20" t="str">
        <f t="shared" si="1"/>
        <v>'2010-10-10</v>
      </c>
      <c r="J20" s="1" t="s">
        <v>13</v>
      </c>
      <c r="K20">
        <f t="shared" si="2"/>
        <v>19</v>
      </c>
    </row>
    <row r="21" spans="1:11" x14ac:dyDescent="0.3">
      <c r="A21" s="1" t="s">
        <v>2402</v>
      </c>
      <c r="B21">
        <f t="shared" si="0"/>
        <v>20</v>
      </c>
      <c r="C21" s="1" t="s">
        <v>13</v>
      </c>
      <c r="D21" s="1" t="s">
        <v>13</v>
      </c>
      <c r="E21" s="1" t="s">
        <v>2491</v>
      </c>
      <c r="F21" s="1" t="s">
        <v>431</v>
      </c>
      <c r="G21" s="1" t="s">
        <v>433</v>
      </c>
      <c r="H21" s="1" t="str">
        <f>Names!M22</f>
        <v>BillMFinley@gustr.com</v>
      </c>
      <c r="I21" t="str">
        <f t="shared" si="1"/>
        <v>'2010-10-10</v>
      </c>
      <c r="J21" s="1" t="s">
        <v>13</v>
      </c>
      <c r="K21">
        <f t="shared" si="2"/>
        <v>20</v>
      </c>
    </row>
    <row r="22" spans="1:11" x14ac:dyDescent="0.3">
      <c r="A22" s="1" t="s">
        <v>2402</v>
      </c>
      <c r="B22">
        <f t="shared" si="0"/>
        <v>21</v>
      </c>
      <c r="C22" s="1" t="s">
        <v>13</v>
      </c>
      <c r="D22" s="1" t="s">
        <v>13</v>
      </c>
      <c r="E22" s="1" t="s">
        <v>2491</v>
      </c>
      <c r="F22" s="1" t="s">
        <v>448</v>
      </c>
      <c r="G22" s="1" t="s">
        <v>449</v>
      </c>
      <c r="H22" s="1" t="str">
        <f>Names!M23</f>
        <v>CharlesJSeng@armyspy.com</v>
      </c>
      <c r="I22" t="str">
        <f t="shared" si="1"/>
        <v>'2010-10-10</v>
      </c>
      <c r="J22" s="1" t="s">
        <v>13</v>
      </c>
      <c r="K22">
        <f t="shared" si="2"/>
        <v>21</v>
      </c>
    </row>
    <row r="23" spans="1:11" x14ac:dyDescent="0.3">
      <c r="A23" s="1" t="s">
        <v>2402</v>
      </c>
      <c r="B23">
        <f t="shared" si="0"/>
        <v>22</v>
      </c>
      <c r="C23" s="1" t="s">
        <v>13</v>
      </c>
      <c r="D23" s="1" t="s">
        <v>13</v>
      </c>
      <c r="E23" s="1" t="s">
        <v>2491</v>
      </c>
      <c r="F23" s="1" t="s">
        <v>464</v>
      </c>
      <c r="G23" s="1" t="s">
        <v>465</v>
      </c>
      <c r="H23" s="1" t="str">
        <f>Names!M24</f>
        <v>RobertGMiller@teleworm.us</v>
      </c>
      <c r="I23" t="str">
        <f t="shared" si="1"/>
        <v>'2010-10-10</v>
      </c>
      <c r="J23" s="1" t="s">
        <v>13</v>
      </c>
      <c r="K23">
        <f t="shared" si="2"/>
        <v>22</v>
      </c>
    </row>
    <row r="24" spans="1:11" x14ac:dyDescent="0.3">
      <c r="A24" s="1" t="s">
        <v>2402</v>
      </c>
      <c r="B24">
        <f t="shared" si="0"/>
        <v>23</v>
      </c>
      <c r="C24" s="1" t="s">
        <v>13</v>
      </c>
      <c r="D24" s="1" t="s">
        <v>13</v>
      </c>
      <c r="E24" s="1" t="s">
        <v>2491</v>
      </c>
      <c r="F24" s="1" t="s">
        <v>481</v>
      </c>
      <c r="G24" s="1" t="s">
        <v>482</v>
      </c>
      <c r="H24" s="1" t="str">
        <f>Names!M25</f>
        <v>DavidBKelly@gustr.com</v>
      </c>
      <c r="I24" t="str">
        <f t="shared" si="1"/>
        <v>'2010-10-10</v>
      </c>
      <c r="J24" s="1" t="s">
        <v>13</v>
      </c>
      <c r="K24">
        <f t="shared" si="2"/>
        <v>23</v>
      </c>
    </row>
    <row r="25" spans="1:11" x14ac:dyDescent="0.3">
      <c r="A25" s="1" t="s">
        <v>2402</v>
      </c>
      <c r="B25">
        <f t="shared" si="0"/>
        <v>24</v>
      </c>
      <c r="C25" s="1" t="s">
        <v>13</v>
      </c>
      <c r="D25" s="1" t="s">
        <v>13</v>
      </c>
      <c r="E25" s="1" t="s">
        <v>2491</v>
      </c>
      <c r="F25" s="1" t="s">
        <v>496</v>
      </c>
      <c r="G25" s="1" t="s">
        <v>497</v>
      </c>
      <c r="H25" s="1" t="str">
        <f>Names!M26</f>
        <v>EmoryCHanson@armyspy.com</v>
      </c>
      <c r="I25" t="str">
        <f t="shared" si="1"/>
        <v>'2010-10-10</v>
      </c>
      <c r="J25" s="1" t="s">
        <v>13</v>
      </c>
      <c r="K25">
        <f t="shared" si="2"/>
        <v>24</v>
      </c>
    </row>
    <row r="26" spans="1:11" x14ac:dyDescent="0.3">
      <c r="A26" s="1" t="s">
        <v>2402</v>
      </c>
      <c r="B26">
        <f t="shared" si="0"/>
        <v>25</v>
      </c>
      <c r="C26" s="1" t="s">
        <v>13</v>
      </c>
      <c r="D26" s="1" t="s">
        <v>13</v>
      </c>
      <c r="E26" s="1" t="s">
        <v>2491</v>
      </c>
      <c r="F26" s="1" t="s">
        <v>513</v>
      </c>
      <c r="G26" s="1" t="s">
        <v>514</v>
      </c>
      <c r="H26" s="1" t="str">
        <f>Names!M27</f>
        <v>RichardETurner@jourrapide.com</v>
      </c>
      <c r="I26" t="str">
        <f t="shared" si="1"/>
        <v>'2010-10-10</v>
      </c>
      <c r="J26" s="1" t="s">
        <v>13</v>
      </c>
      <c r="K26">
        <f t="shared" si="2"/>
        <v>25</v>
      </c>
    </row>
    <row r="27" spans="1:11" x14ac:dyDescent="0.3">
      <c r="A27" s="1" t="s">
        <v>2402</v>
      </c>
      <c r="B27">
        <f t="shared" si="0"/>
        <v>26</v>
      </c>
      <c r="C27" s="1" t="s">
        <v>13</v>
      </c>
      <c r="D27" s="1" t="s">
        <v>13</v>
      </c>
      <c r="E27" s="1" t="s">
        <v>2491</v>
      </c>
      <c r="F27" s="1" t="s">
        <v>528</v>
      </c>
      <c r="G27" s="1" t="s">
        <v>529</v>
      </c>
      <c r="H27" s="1" t="str">
        <f>Names!M28</f>
        <v>CletusDHill@gustr.com</v>
      </c>
      <c r="I27" t="str">
        <f t="shared" si="1"/>
        <v>'2010-10-10</v>
      </c>
      <c r="J27" s="1" t="s">
        <v>13</v>
      </c>
      <c r="K27">
        <f t="shared" si="2"/>
        <v>26</v>
      </c>
    </row>
    <row r="28" spans="1:11" x14ac:dyDescent="0.3">
      <c r="A28" s="1" t="s">
        <v>2402</v>
      </c>
      <c r="B28">
        <f t="shared" si="0"/>
        <v>27</v>
      </c>
      <c r="C28" s="1" t="s">
        <v>13</v>
      </c>
      <c r="D28" s="1" t="s">
        <v>13</v>
      </c>
      <c r="E28" s="1" t="s">
        <v>2491</v>
      </c>
      <c r="F28" s="1" t="s">
        <v>544</v>
      </c>
      <c r="G28" s="1" t="s">
        <v>546</v>
      </c>
      <c r="H28" s="1" t="str">
        <f>Names!M29</f>
        <v>NancyFFoley@cuvox.de</v>
      </c>
      <c r="I28" t="str">
        <f t="shared" si="1"/>
        <v>'2010-10-10</v>
      </c>
      <c r="J28" s="1" t="s">
        <v>13</v>
      </c>
      <c r="K28">
        <f t="shared" si="2"/>
        <v>27</v>
      </c>
    </row>
    <row r="29" spans="1:11" x14ac:dyDescent="0.3">
      <c r="A29" s="1" t="s">
        <v>2402</v>
      </c>
      <c r="B29">
        <f t="shared" si="0"/>
        <v>28</v>
      </c>
      <c r="C29" s="1" t="s">
        <v>13</v>
      </c>
      <c r="D29" s="1" t="s">
        <v>13</v>
      </c>
      <c r="E29" s="1" t="s">
        <v>2491</v>
      </c>
      <c r="F29" s="1" t="s">
        <v>560</v>
      </c>
      <c r="G29" s="1" t="s">
        <v>561</v>
      </c>
      <c r="H29" s="1" t="str">
        <f>Names!M30</f>
        <v>NicholeDMitchell@fleckens.hu</v>
      </c>
      <c r="I29" t="str">
        <f t="shared" si="1"/>
        <v>'2010-10-10</v>
      </c>
      <c r="J29" s="1" t="s">
        <v>13</v>
      </c>
      <c r="K29">
        <f t="shared" si="2"/>
        <v>28</v>
      </c>
    </row>
    <row r="30" spans="1:11" x14ac:dyDescent="0.3">
      <c r="A30" s="1" t="s">
        <v>2402</v>
      </c>
      <c r="B30">
        <f t="shared" si="0"/>
        <v>29</v>
      </c>
      <c r="C30" s="1" t="s">
        <v>13</v>
      </c>
      <c r="D30" s="1" t="s">
        <v>13</v>
      </c>
      <c r="E30" s="1" t="s">
        <v>2491</v>
      </c>
      <c r="F30" s="1" t="s">
        <v>578</v>
      </c>
      <c r="G30" s="1" t="s">
        <v>579</v>
      </c>
      <c r="H30" s="1" t="str">
        <f>Names!M31</f>
        <v>RickyFNestor@rhyta.com</v>
      </c>
      <c r="I30" t="str">
        <f t="shared" si="1"/>
        <v>'2010-10-10</v>
      </c>
      <c r="J30" s="1" t="s">
        <v>13</v>
      </c>
      <c r="K30">
        <f t="shared" si="2"/>
        <v>29</v>
      </c>
    </row>
    <row r="31" spans="1:11" x14ac:dyDescent="0.3">
      <c r="A31" s="1" t="s">
        <v>2402</v>
      </c>
      <c r="B31">
        <f t="shared" si="0"/>
        <v>30</v>
      </c>
      <c r="C31" s="1" t="s">
        <v>13</v>
      </c>
      <c r="D31" s="1" t="s">
        <v>13</v>
      </c>
      <c r="E31" s="1" t="s">
        <v>2491</v>
      </c>
      <c r="F31" s="1" t="s">
        <v>594</v>
      </c>
      <c r="G31" s="1" t="s">
        <v>595</v>
      </c>
      <c r="H31" s="1" t="str">
        <f>Names!M32</f>
        <v>DorothyJFisher@dayrep.com</v>
      </c>
      <c r="I31" t="str">
        <f t="shared" si="1"/>
        <v>'2010-10-10</v>
      </c>
      <c r="J31" s="1" t="s">
        <v>13</v>
      </c>
      <c r="K31">
        <f t="shared" si="2"/>
        <v>30</v>
      </c>
    </row>
    <row r="32" spans="1:11" x14ac:dyDescent="0.3">
      <c r="A32" s="1" t="s">
        <v>2402</v>
      </c>
      <c r="B32">
        <f t="shared" si="0"/>
        <v>31</v>
      </c>
      <c r="C32" s="1" t="s">
        <v>13</v>
      </c>
      <c r="D32" s="1" t="s">
        <v>13</v>
      </c>
      <c r="E32" s="1" t="s">
        <v>2491</v>
      </c>
      <c r="F32" s="1" t="s">
        <v>609</v>
      </c>
      <c r="G32" s="1" t="s">
        <v>611</v>
      </c>
      <c r="H32" s="1" t="str">
        <f>Names!M33</f>
        <v>BruceIWelsh@teleworm.us</v>
      </c>
      <c r="I32" t="str">
        <f t="shared" si="1"/>
        <v>'2010-10-10</v>
      </c>
      <c r="J32" s="1" t="s">
        <v>13</v>
      </c>
      <c r="K32">
        <f t="shared" si="2"/>
        <v>31</v>
      </c>
    </row>
    <row r="33" spans="1:11" x14ac:dyDescent="0.3">
      <c r="A33" s="1" t="s">
        <v>2402</v>
      </c>
      <c r="B33">
        <f t="shared" si="0"/>
        <v>32</v>
      </c>
      <c r="C33" s="1" t="s">
        <v>13</v>
      </c>
      <c r="D33" s="1" t="s">
        <v>13</v>
      </c>
      <c r="E33" s="1" t="s">
        <v>2491</v>
      </c>
      <c r="F33" s="1" t="s">
        <v>626</v>
      </c>
      <c r="G33" s="1" t="s">
        <v>628</v>
      </c>
      <c r="H33" s="1" t="str">
        <f>Names!M34</f>
        <v>AlmaTSterling@gustr.com</v>
      </c>
      <c r="I33" t="str">
        <f t="shared" si="1"/>
        <v>'2010-10-10</v>
      </c>
      <c r="J33" s="1" t="s">
        <v>13</v>
      </c>
      <c r="K33">
        <f t="shared" si="2"/>
        <v>32</v>
      </c>
    </row>
    <row r="34" spans="1:11" x14ac:dyDescent="0.3">
      <c r="A34" s="1" t="s">
        <v>2402</v>
      </c>
      <c r="B34">
        <f t="shared" si="0"/>
        <v>33</v>
      </c>
      <c r="C34" s="1" t="s">
        <v>13</v>
      </c>
      <c r="D34" s="1" t="s">
        <v>13</v>
      </c>
      <c r="E34" s="1" t="s">
        <v>2491</v>
      </c>
      <c r="F34" s="1" t="s">
        <v>464</v>
      </c>
      <c r="G34" s="1" t="s">
        <v>644</v>
      </c>
      <c r="H34" s="1" t="str">
        <f>Names!M35</f>
        <v>RobertLHunt@teleworm.us</v>
      </c>
      <c r="I34" t="str">
        <f t="shared" si="1"/>
        <v>'2010-10-10</v>
      </c>
      <c r="J34" s="1" t="s">
        <v>13</v>
      </c>
      <c r="K34">
        <f t="shared" si="2"/>
        <v>33</v>
      </c>
    </row>
    <row r="35" spans="1:11" x14ac:dyDescent="0.3">
      <c r="A35" s="1" t="s">
        <v>2402</v>
      </c>
      <c r="B35">
        <f t="shared" si="0"/>
        <v>34</v>
      </c>
      <c r="C35" s="1" t="s">
        <v>13</v>
      </c>
      <c r="D35" s="1" t="s">
        <v>13</v>
      </c>
      <c r="E35" s="1" t="s">
        <v>2491</v>
      </c>
      <c r="F35" s="1" t="s">
        <v>660</v>
      </c>
      <c r="G35" s="1" t="s">
        <v>661</v>
      </c>
      <c r="H35" s="1" t="str">
        <f>Names!M36</f>
        <v>StephanieJYoung@jourrapide.com</v>
      </c>
      <c r="I35" t="str">
        <f t="shared" si="1"/>
        <v>'2010-10-10</v>
      </c>
      <c r="J35" s="1" t="s">
        <v>13</v>
      </c>
      <c r="K35">
        <f t="shared" si="2"/>
        <v>34</v>
      </c>
    </row>
    <row r="36" spans="1:11" x14ac:dyDescent="0.3">
      <c r="A36" s="1" t="s">
        <v>2402</v>
      </c>
      <c r="B36">
        <f t="shared" si="0"/>
        <v>35</v>
      </c>
      <c r="C36" s="1" t="s">
        <v>13</v>
      </c>
      <c r="D36" s="1" t="s">
        <v>13</v>
      </c>
      <c r="E36" s="1" t="s">
        <v>2491</v>
      </c>
      <c r="F36" s="1" t="s">
        <v>676</v>
      </c>
      <c r="G36" s="1" t="s">
        <v>677</v>
      </c>
      <c r="H36" s="1" t="str">
        <f>Names!M37</f>
        <v>WilmaCUrbanski@teleworm.us</v>
      </c>
      <c r="I36" t="str">
        <f t="shared" si="1"/>
        <v>'2010-10-10</v>
      </c>
      <c r="J36" s="1" t="s">
        <v>13</v>
      </c>
      <c r="K36">
        <f t="shared" si="2"/>
        <v>35</v>
      </c>
    </row>
    <row r="37" spans="1:11" x14ac:dyDescent="0.3">
      <c r="A37" s="1" t="s">
        <v>2402</v>
      </c>
      <c r="B37">
        <f t="shared" si="0"/>
        <v>36</v>
      </c>
      <c r="C37" s="1" t="s">
        <v>13</v>
      </c>
      <c r="D37" s="1" t="s">
        <v>13</v>
      </c>
      <c r="E37" s="1" t="s">
        <v>2491</v>
      </c>
      <c r="F37" s="1" t="s">
        <v>691</v>
      </c>
      <c r="G37" s="1" t="s">
        <v>692</v>
      </c>
      <c r="H37" s="1" t="str">
        <f>Names!M38</f>
        <v>KeliHWarren@rhyta.com</v>
      </c>
      <c r="I37" t="str">
        <f t="shared" si="1"/>
        <v>'2010-10-10</v>
      </c>
      <c r="J37" s="1" t="s">
        <v>13</v>
      </c>
      <c r="K37">
        <f t="shared" si="2"/>
        <v>36</v>
      </c>
    </row>
    <row r="38" spans="1:11" x14ac:dyDescent="0.3">
      <c r="A38" s="1" t="s">
        <v>2402</v>
      </c>
      <c r="B38">
        <f t="shared" si="0"/>
        <v>37</v>
      </c>
      <c r="C38" s="1" t="s">
        <v>13</v>
      </c>
      <c r="D38" s="1" t="s">
        <v>13</v>
      </c>
      <c r="E38" s="1" t="s">
        <v>2491</v>
      </c>
      <c r="F38" s="1" t="s">
        <v>705</v>
      </c>
      <c r="G38" s="1" t="s">
        <v>706</v>
      </c>
      <c r="H38" s="1" t="str">
        <f>Names!M39</f>
        <v>RalphKGraham@rhyta.com</v>
      </c>
      <c r="I38" t="str">
        <f t="shared" si="1"/>
        <v>'2010-10-10</v>
      </c>
      <c r="J38" s="1" t="s">
        <v>13</v>
      </c>
      <c r="K38">
        <f t="shared" si="2"/>
        <v>37</v>
      </c>
    </row>
    <row r="39" spans="1:11" x14ac:dyDescent="0.3">
      <c r="A39" s="1" t="s">
        <v>2402</v>
      </c>
      <c r="B39">
        <f t="shared" si="0"/>
        <v>38</v>
      </c>
      <c r="C39" s="1" t="s">
        <v>13</v>
      </c>
      <c r="D39" s="1" t="s">
        <v>13</v>
      </c>
      <c r="E39" s="1" t="s">
        <v>2491</v>
      </c>
      <c r="F39" s="1" t="s">
        <v>722</v>
      </c>
      <c r="G39" s="1" t="s">
        <v>724</v>
      </c>
      <c r="H39" s="1" t="str">
        <f>Names!M40</f>
        <v>MargaretRGreene@armyspy.com</v>
      </c>
      <c r="I39" t="str">
        <f t="shared" si="1"/>
        <v>'2010-10-10</v>
      </c>
      <c r="J39" s="1" t="s">
        <v>13</v>
      </c>
      <c r="K39">
        <f t="shared" si="2"/>
        <v>38</v>
      </c>
    </row>
    <row r="40" spans="1:11" x14ac:dyDescent="0.3">
      <c r="A40" s="1" t="s">
        <v>2402</v>
      </c>
      <c r="B40">
        <f t="shared" si="0"/>
        <v>39</v>
      </c>
      <c r="C40" s="1" t="s">
        <v>13</v>
      </c>
      <c r="D40" s="1" t="s">
        <v>13</v>
      </c>
      <c r="E40" s="1" t="s">
        <v>2491</v>
      </c>
      <c r="F40" s="1" t="s">
        <v>739</v>
      </c>
      <c r="G40" s="1" t="s">
        <v>740</v>
      </c>
      <c r="H40" s="1" t="str">
        <f>Names!M41</f>
        <v>WilliamJPerreault@einrot.com</v>
      </c>
      <c r="I40" t="str">
        <f t="shared" si="1"/>
        <v>'2010-10-10</v>
      </c>
      <c r="J40" s="1" t="s">
        <v>13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6.109375" bestFit="1" customWidth="1"/>
    <col min="4" max="4" width="32.109375" bestFit="1" customWidth="1"/>
    <col min="5" max="5" width="3.33203125" bestFit="1" customWidth="1"/>
  </cols>
  <sheetData>
    <row r="1" spans="1:5" s="2" customFormat="1" x14ac:dyDescent="0.3">
      <c r="A1" s="2" t="s">
        <v>11</v>
      </c>
      <c r="B1" s="2" t="s">
        <v>2409</v>
      </c>
      <c r="C1" s="2" t="s">
        <v>12</v>
      </c>
      <c r="D1" s="2" t="s">
        <v>2400</v>
      </c>
      <c r="E1" s="2" t="s">
        <v>2425</v>
      </c>
    </row>
    <row r="2" spans="1:5" x14ac:dyDescent="0.3">
      <c r="A2" t="s">
        <v>10</v>
      </c>
      <c r="B2">
        <f>IF(ISNUMBER(B1),B1+1,1)</f>
        <v>1</v>
      </c>
      <c r="C2" t="s">
        <v>2391</v>
      </c>
      <c r="D2" t="s">
        <v>2396</v>
      </c>
      <c r="E2">
        <f>B2</f>
        <v>1</v>
      </c>
    </row>
    <row r="3" spans="1:5" x14ac:dyDescent="0.3">
      <c r="A3" t="s">
        <v>10</v>
      </c>
      <c r="B3">
        <f>IF(ISNUMBER(B2),B2+1,1)</f>
        <v>2</v>
      </c>
      <c r="C3" t="s">
        <v>2393</v>
      </c>
      <c r="D3" t="s">
        <v>2397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8.109375" style="5" bestFit="1" customWidth="1"/>
    <col min="2" max="2" width="3" style="5" bestFit="1" customWidth="1"/>
    <col min="3" max="3" width="6.109375" style="5" bestFit="1" customWidth="1"/>
    <col min="4" max="4" width="6.6640625" style="5" bestFit="1" customWidth="1"/>
    <col min="5" max="5" width="6.44140625" style="5" bestFit="1" customWidth="1"/>
    <col min="6" max="6" width="12.109375" style="5" bestFit="1" customWidth="1"/>
    <col min="7" max="7" width="9.6640625" style="5" bestFit="1" customWidth="1"/>
    <col min="8" max="8" width="3.109375" style="5" bestFit="1" customWidth="1"/>
    <col min="9" max="16384" width="8.88671875" style="5"/>
  </cols>
  <sheetData>
    <row r="1" spans="1:8" s="2" customFormat="1" x14ac:dyDescent="0.3">
      <c r="A1" s="2" t="s">
        <v>11</v>
      </c>
      <c r="B1" s="2" t="s">
        <v>2409</v>
      </c>
      <c r="C1" s="2" t="s">
        <v>2408</v>
      </c>
      <c r="D1" s="2" t="s">
        <v>2488</v>
      </c>
      <c r="E1" s="2" t="s">
        <v>2492</v>
      </c>
      <c r="F1" s="2" t="s">
        <v>2398</v>
      </c>
      <c r="G1" s="2" t="s">
        <v>2424</v>
      </c>
      <c r="H1" s="2" t="s">
        <v>2425</v>
      </c>
    </row>
    <row r="2" spans="1:8" x14ac:dyDescent="0.3">
      <c r="A2" s="5" t="s">
        <v>2421</v>
      </c>
      <c r="B2" s="5">
        <f t="shared" ref="B2:B43" si="0">IF(ISNUMBER(B1),B1+1,1)</f>
        <v>1</v>
      </c>
      <c r="C2" s="5" t="s">
        <v>2393</v>
      </c>
      <c r="D2" s="5">
        <f>users.csv!B2</f>
        <v>1</v>
      </c>
      <c r="E2" s="5">
        <f>VLOOKUP(C2,'roles.csv'!C:E,3,FALSE)</f>
        <v>2</v>
      </c>
      <c r="F2" s="5" t="str">
        <f>"'"&amp;TEXT("2017-01-01","YYYY-MM-DD")</f>
        <v>'2017-01-01</v>
      </c>
      <c r="G2" s="5" t="s">
        <v>13</v>
      </c>
      <c r="H2" s="5">
        <f>B2</f>
        <v>1</v>
      </c>
    </row>
    <row r="3" spans="1:8" x14ac:dyDescent="0.3">
      <c r="A3" s="5" t="s">
        <v>2421</v>
      </c>
      <c r="B3" s="5">
        <f t="shared" si="0"/>
        <v>2</v>
      </c>
      <c r="C3" s="5" t="s">
        <v>2393</v>
      </c>
      <c r="D3" s="5">
        <f>users.csv!B3</f>
        <v>2</v>
      </c>
      <c r="E3" s="5">
        <f>VLOOKUP(C3,'roles.csv'!C:E,3,FALSE)</f>
        <v>2</v>
      </c>
      <c r="F3" s="5" t="str">
        <f t="shared" ref="F3:F43" si="1">"'"&amp;TEXT("2017-01-01","YYYY-MM-DD")</f>
        <v>'2017-01-01</v>
      </c>
      <c r="G3" s="5" t="s">
        <v>13</v>
      </c>
      <c r="H3" s="5">
        <f t="shared" ref="H3:H43" si="2">B3</f>
        <v>2</v>
      </c>
    </row>
    <row r="4" spans="1:8" x14ac:dyDescent="0.3">
      <c r="A4" s="5" t="s">
        <v>2421</v>
      </c>
      <c r="B4" s="5">
        <f t="shared" si="0"/>
        <v>3</v>
      </c>
      <c r="C4" s="5" t="s">
        <v>2391</v>
      </c>
      <c r="D4" s="5">
        <f>users.csv!B4</f>
        <v>3</v>
      </c>
      <c r="E4" s="5">
        <f>VLOOKUP(C4,'roles.csv'!C:E,3,FALSE)</f>
        <v>1</v>
      </c>
      <c r="F4" s="5" t="str">
        <f t="shared" si="1"/>
        <v>'2017-01-01</v>
      </c>
      <c r="G4" s="5" t="s">
        <v>13</v>
      </c>
      <c r="H4" s="5">
        <f t="shared" si="2"/>
        <v>3</v>
      </c>
    </row>
    <row r="5" spans="1:8" x14ac:dyDescent="0.3">
      <c r="A5" s="5" t="s">
        <v>2421</v>
      </c>
      <c r="B5" s="5">
        <f t="shared" si="0"/>
        <v>4</v>
      </c>
      <c r="C5" s="5" t="s">
        <v>2391</v>
      </c>
      <c r="D5" s="5">
        <f>users.csv!B5</f>
        <v>4</v>
      </c>
      <c r="E5" s="5">
        <f>VLOOKUP(C5,'roles.csv'!C:E,3,FALSE)</f>
        <v>1</v>
      </c>
      <c r="F5" s="5" t="str">
        <f t="shared" si="1"/>
        <v>'2017-01-01</v>
      </c>
      <c r="G5" s="5" t="s">
        <v>13</v>
      </c>
      <c r="H5" s="5">
        <f t="shared" si="2"/>
        <v>4</v>
      </c>
    </row>
    <row r="6" spans="1:8" x14ac:dyDescent="0.3">
      <c r="A6" s="5" t="s">
        <v>2421</v>
      </c>
      <c r="B6" s="5">
        <f t="shared" si="0"/>
        <v>5</v>
      </c>
      <c r="C6" s="5" t="s">
        <v>2391</v>
      </c>
      <c r="D6" s="5">
        <f>users.csv!B6</f>
        <v>5</v>
      </c>
      <c r="E6" s="5">
        <f>VLOOKUP(C6,'roles.csv'!C:E,3,FALSE)</f>
        <v>1</v>
      </c>
      <c r="F6" s="5" t="str">
        <f t="shared" si="1"/>
        <v>'2017-01-01</v>
      </c>
      <c r="G6" s="5" t="s">
        <v>13</v>
      </c>
      <c r="H6" s="5">
        <f t="shared" si="2"/>
        <v>5</v>
      </c>
    </row>
    <row r="7" spans="1:8" x14ac:dyDescent="0.3">
      <c r="A7" s="5" t="s">
        <v>2421</v>
      </c>
      <c r="B7" s="5">
        <f t="shared" si="0"/>
        <v>6</v>
      </c>
      <c r="C7" s="5" t="s">
        <v>2391</v>
      </c>
      <c r="D7" s="5">
        <f>users.csv!B7</f>
        <v>6</v>
      </c>
      <c r="E7" s="5">
        <f>VLOOKUP(C7,'roles.csv'!C:E,3,FALSE)</f>
        <v>1</v>
      </c>
      <c r="F7" s="5" t="str">
        <f t="shared" si="1"/>
        <v>'2017-01-01</v>
      </c>
      <c r="G7" s="5" t="s">
        <v>13</v>
      </c>
      <c r="H7" s="5">
        <f t="shared" si="2"/>
        <v>6</v>
      </c>
    </row>
    <row r="8" spans="1:8" x14ac:dyDescent="0.3">
      <c r="A8" s="5" t="s">
        <v>2421</v>
      </c>
      <c r="B8" s="5">
        <f t="shared" si="0"/>
        <v>7</v>
      </c>
      <c r="C8" s="5" t="s">
        <v>2391</v>
      </c>
      <c r="D8" s="5">
        <f>users.csv!B8</f>
        <v>7</v>
      </c>
      <c r="E8" s="5">
        <f>VLOOKUP(C8,'roles.csv'!C:E,3,FALSE)</f>
        <v>1</v>
      </c>
      <c r="F8" s="5" t="str">
        <f t="shared" si="1"/>
        <v>'2017-01-01</v>
      </c>
      <c r="G8" s="5" t="s">
        <v>13</v>
      </c>
      <c r="H8" s="5">
        <f t="shared" si="2"/>
        <v>7</v>
      </c>
    </row>
    <row r="9" spans="1:8" x14ac:dyDescent="0.3">
      <c r="A9" s="5" t="s">
        <v>2421</v>
      </c>
      <c r="B9" s="5">
        <f t="shared" si="0"/>
        <v>8</v>
      </c>
      <c r="C9" s="5" t="s">
        <v>2391</v>
      </c>
      <c r="D9" s="5">
        <f>users.csv!B9</f>
        <v>8</v>
      </c>
      <c r="E9" s="5">
        <f>VLOOKUP(C9,'roles.csv'!C:E,3,FALSE)</f>
        <v>1</v>
      </c>
      <c r="F9" s="5" t="str">
        <f t="shared" si="1"/>
        <v>'2017-01-01</v>
      </c>
      <c r="G9" s="5" t="s">
        <v>13</v>
      </c>
      <c r="H9" s="5">
        <f t="shared" si="2"/>
        <v>8</v>
      </c>
    </row>
    <row r="10" spans="1:8" x14ac:dyDescent="0.3">
      <c r="A10" s="5" t="s">
        <v>2421</v>
      </c>
      <c r="B10" s="5">
        <f t="shared" si="0"/>
        <v>9</v>
      </c>
      <c r="C10" s="5" t="s">
        <v>2391</v>
      </c>
      <c r="D10" s="5">
        <f>users.csv!B10</f>
        <v>9</v>
      </c>
      <c r="E10" s="5">
        <f>VLOOKUP(C10,'roles.csv'!C:E,3,FALSE)</f>
        <v>1</v>
      </c>
      <c r="F10" s="5" t="str">
        <f t="shared" si="1"/>
        <v>'2017-01-01</v>
      </c>
      <c r="G10" s="5" t="s">
        <v>13</v>
      </c>
      <c r="H10" s="5">
        <f t="shared" si="2"/>
        <v>9</v>
      </c>
    </row>
    <row r="11" spans="1:8" x14ac:dyDescent="0.3">
      <c r="A11" s="5" t="s">
        <v>2421</v>
      </c>
      <c r="B11" s="5">
        <f t="shared" si="0"/>
        <v>10</v>
      </c>
      <c r="C11" s="5" t="s">
        <v>2391</v>
      </c>
      <c r="D11" s="5">
        <f>users.csv!B11</f>
        <v>10</v>
      </c>
      <c r="E11" s="5">
        <f>VLOOKUP(C11,'roles.csv'!C:E,3,FALSE)</f>
        <v>1</v>
      </c>
      <c r="F11" s="5" t="str">
        <f t="shared" si="1"/>
        <v>'2017-01-01</v>
      </c>
      <c r="G11" s="5" t="s">
        <v>13</v>
      </c>
      <c r="H11" s="5">
        <f t="shared" si="2"/>
        <v>10</v>
      </c>
    </row>
    <row r="12" spans="1:8" x14ac:dyDescent="0.3">
      <c r="A12" s="5" t="s">
        <v>2421</v>
      </c>
      <c r="B12" s="5">
        <f t="shared" si="0"/>
        <v>11</v>
      </c>
      <c r="C12" s="5" t="s">
        <v>2391</v>
      </c>
      <c r="D12" s="5">
        <f>users.csv!B12</f>
        <v>11</v>
      </c>
      <c r="E12" s="5">
        <f>VLOOKUP(C12,'roles.csv'!C:E,3,FALSE)</f>
        <v>1</v>
      </c>
      <c r="F12" s="5" t="str">
        <f t="shared" si="1"/>
        <v>'2017-01-01</v>
      </c>
      <c r="G12" s="5" t="s">
        <v>13</v>
      </c>
      <c r="H12" s="5">
        <f t="shared" si="2"/>
        <v>11</v>
      </c>
    </row>
    <row r="13" spans="1:8" x14ac:dyDescent="0.3">
      <c r="A13" s="5" t="s">
        <v>2421</v>
      </c>
      <c r="B13" s="5">
        <f t="shared" si="0"/>
        <v>12</v>
      </c>
      <c r="C13" s="5" t="s">
        <v>2391</v>
      </c>
      <c r="D13" s="5">
        <f>users.csv!B13</f>
        <v>12</v>
      </c>
      <c r="E13" s="5">
        <f>VLOOKUP(C13,'roles.csv'!C:E,3,FALSE)</f>
        <v>1</v>
      </c>
      <c r="F13" s="5" t="str">
        <f t="shared" si="1"/>
        <v>'2017-01-01</v>
      </c>
      <c r="G13" s="5" t="s">
        <v>13</v>
      </c>
      <c r="H13" s="5">
        <f t="shared" si="2"/>
        <v>12</v>
      </c>
    </row>
    <row r="14" spans="1:8" x14ac:dyDescent="0.3">
      <c r="A14" s="5" t="s">
        <v>2421</v>
      </c>
      <c r="B14" s="5">
        <f t="shared" si="0"/>
        <v>13</v>
      </c>
      <c r="C14" s="5" t="s">
        <v>2391</v>
      </c>
      <c r="D14" s="5">
        <f>users.csv!B14</f>
        <v>13</v>
      </c>
      <c r="E14" s="5">
        <f>VLOOKUP(C14,'roles.csv'!C:E,3,FALSE)</f>
        <v>1</v>
      </c>
      <c r="F14" s="5" t="str">
        <f t="shared" si="1"/>
        <v>'2017-01-01</v>
      </c>
      <c r="G14" s="5" t="s">
        <v>13</v>
      </c>
      <c r="H14" s="5">
        <f t="shared" si="2"/>
        <v>13</v>
      </c>
    </row>
    <row r="15" spans="1:8" x14ac:dyDescent="0.3">
      <c r="A15" s="5" t="s">
        <v>2421</v>
      </c>
      <c r="B15" s="5">
        <f t="shared" si="0"/>
        <v>14</v>
      </c>
      <c r="C15" s="5" t="s">
        <v>2391</v>
      </c>
      <c r="D15" s="5">
        <f>users.csv!B15</f>
        <v>14</v>
      </c>
      <c r="E15" s="5">
        <f>VLOOKUP(C15,'roles.csv'!C:E,3,FALSE)</f>
        <v>1</v>
      </c>
      <c r="F15" s="5" t="str">
        <f t="shared" si="1"/>
        <v>'2017-01-01</v>
      </c>
      <c r="G15" s="5" t="s">
        <v>13</v>
      </c>
      <c r="H15" s="5">
        <f t="shared" si="2"/>
        <v>14</v>
      </c>
    </row>
    <row r="16" spans="1:8" x14ac:dyDescent="0.3">
      <c r="A16" s="5" t="s">
        <v>2421</v>
      </c>
      <c r="B16" s="5">
        <f t="shared" si="0"/>
        <v>15</v>
      </c>
      <c r="C16" s="5" t="s">
        <v>2391</v>
      </c>
      <c r="D16" s="5">
        <f>users.csv!B16</f>
        <v>15</v>
      </c>
      <c r="E16" s="5">
        <f>VLOOKUP(C16,'roles.csv'!C:E,3,FALSE)</f>
        <v>1</v>
      </c>
      <c r="F16" s="5" t="str">
        <f t="shared" si="1"/>
        <v>'2017-01-01</v>
      </c>
      <c r="G16" s="5" t="s">
        <v>13</v>
      </c>
      <c r="H16" s="5">
        <f t="shared" si="2"/>
        <v>15</v>
      </c>
    </row>
    <row r="17" spans="1:8" x14ac:dyDescent="0.3">
      <c r="A17" s="5" t="s">
        <v>2421</v>
      </c>
      <c r="B17" s="5">
        <f t="shared" si="0"/>
        <v>16</v>
      </c>
      <c r="C17" s="5" t="s">
        <v>2391</v>
      </c>
      <c r="D17" s="5">
        <f>users.csv!B17</f>
        <v>16</v>
      </c>
      <c r="E17" s="5">
        <f>VLOOKUP(C17,'roles.csv'!C:E,3,FALSE)</f>
        <v>1</v>
      </c>
      <c r="F17" s="5" t="str">
        <f t="shared" si="1"/>
        <v>'2017-01-01</v>
      </c>
      <c r="G17" s="5" t="s">
        <v>13</v>
      </c>
      <c r="H17" s="5">
        <f t="shared" si="2"/>
        <v>16</v>
      </c>
    </row>
    <row r="18" spans="1:8" x14ac:dyDescent="0.3">
      <c r="A18" s="5" t="s">
        <v>2421</v>
      </c>
      <c r="B18" s="5">
        <f t="shared" si="0"/>
        <v>17</v>
      </c>
      <c r="C18" s="5" t="s">
        <v>2391</v>
      </c>
      <c r="D18" s="5">
        <f>users.csv!B18</f>
        <v>17</v>
      </c>
      <c r="E18" s="5">
        <f>VLOOKUP(C18,'roles.csv'!C:E,3,FALSE)</f>
        <v>1</v>
      </c>
      <c r="F18" s="5" t="str">
        <f t="shared" si="1"/>
        <v>'2017-01-01</v>
      </c>
      <c r="G18" s="5" t="s">
        <v>13</v>
      </c>
      <c r="H18" s="5">
        <f t="shared" si="2"/>
        <v>17</v>
      </c>
    </row>
    <row r="19" spans="1:8" x14ac:dyDescent="0.3">
      <c r="A19" s="5" t="s">
        <v>2421</v>
      </c>
      <c r="B19" s="5">
        <f t="shared" si="0"/>
        <v>18</v>
      </c>
      <c r="C19" s="5" t="s">
        <v>2391</v>
      </c>
      <c r="D19" s="5">
        <f>users.csv!B19</f>
        <v>18</v>
      </c>
      <c r="E19" s="5">
        <f>VLOOKUP(C19,'roles.csv'!C:E,3,FALSE)</f>
        <v>1</v>
      </c>
      <c r="F19" s="5" t="str">
        <f t="shared" si="1"/>
        <v>'2017-01-01</v>
      </c>
      <c r="G19" s="5" t="s">
        <v>13</v>
      </c>
      <c r="H19" s="5">
        <f t="shared" si="2"/>
        <v>18</v>
      </c>
    </row>
    <row r="20" spans="1:8" x14ac:dyDescent="0.3">
      <c r="A20" s="5" t="s">
        <v>2421</v>
      </c>
      <c r="B20" s="5">
        <f t="shared" si="0"/>
        <v>19</v>
      </c>
      <c r="C20" s="5" t="s">
        <v>2391</v>
      </c>
      <c r="D20" s="5">
        <f>users.csv!B20</f>
        <v>19</v>
      </c>
      <c r="E20" s="5">
        <f>VLOOKUP(C20,'roles.csv'!C:E,3,FALSE)</f>
        <v>1</v>
      </c>
      <c r="F20" s="5" t="str">
        <f t="shared" si="1"/>
        <v>'2017-01-01</v>
      </c>
      <c r="G20" s="5" t="s">
        <v>13</v>
      </c>
      <c r="H20" s="5">
        <f t="shared" si="2"/>
        <v>19</v>
      </c>
    </row>
    <row r="21" spans="1:8" x14ac:dyDescent="0.3">
      <c r="A21" s="5" t="s">
        <v>2421</v>
      </c>
      <c r="B21" s="5">
        <f t="shared" si="0"/>
        <v>20</v>
      </c>
      <c r="C21" s="5" t="s">
        <v>2391</v>
      </c>
      <c r="D21" s="5">
        <f>users.csv!B21</f>
        <v>20</v>
      </c>
      <c r="E21" s="5">
        <f>VLOOKUP(C21,'roles.csv'!C:E,3,FALSE)</f>
        <v>1</v>
      </c>
      <c r="F21" s="5" t="str">
        <f t="shared" si="1"/>
        <v>'2017-01-01</v>
      </c>
      <c r="G21" s="5" t="s">
        <v>13</v>
      </c>
      <c r="H21" s="5">
        <f t="shared" si="2"/>
        <v>20</v>
      </c>
    </row>
    <row r="22" spans="1:8" x14ac:dyDescent="0.3">
      <c r="A22" s="5" t="s">
        <v>2421</v>
      </c>
      <c r="B22" s="5">
        <f t="shared" si="0"/>
        <v>21</v>
      </c>
      <c r="C22" s="5" t="s">
        <v>2391</v>
      </c>
      <c r="D22" s="5">
        <f>users.csv!B22</f>
        <v>21</v>
      </c>
      <c r="E22" s="5">
        <f>VLOOKUP(C22,'roles.csv'!C:E,3,FALSE)</f>
        <v>1</v>
      </c>
      <c r="F22" s="5" t="str">
        <f t="shared" si="1"/>
        <v>'2017-01-01</v>
      </c>
      <c r="G22" s="5" t="s">
        <v>13</v>
      </c>
      <c r="H22" s="5">
        <f t="shared" si="2"/>
        <v>21</v>
      </c>
    </row>
    <row r="23" spans="1:8" x14ac:dyDescent="0.3">
      <c r="A23" s="5" t="s">
        <v>2421</v>
      </c>
      <c r="B23" s="5">
        <f t="shared" si="0"/>
        <v>22</v>
      </c>
      <c r="C23" s="5" t="s">
        <v>2391</v>
      </c>
      <c r="D23" s="5">
        <f>users.csv!B23</f>
        <v>22</v>
      </c>
      <c r="E23" s="5">
        <f>VLOOKUP(C23,'roles.csv'!C:E,3,FALSE)</f>
        <v>1</v>
      </c>
      <c r="F23" s="5" t="str">
        <f t="shared" si="1"/>
        <v>'2017-01-01</v>
      </c>
      <c r="G23" s="5" t="s">
        <v>13</v>
      </c>
      <c r="H23" s="5">
        <f t="shared" si="2"/>
        <v>22</v>
      </c>
    </row>
    <row r="24" spans="1:8" x14ac:dyDescent="0.3">
      <c r="A24" s="5" t="s">
        <v>2421</v>
      </c>
      <c r="B24" s="5">
        <f t="shared" si="0"/>
        <v>23</v>
      </c>
      <c r="C24" s="5" t="s">
        <v>2391</v>
      </c>
      <c r="D24" s="5">
        <f>users.csv!B24</f>
        <v>23</v>
      </c>
      <c r="E24" s="5">
        <f>VLOOKUP(C24,'roles.csv'!C:E,3,FALSE)</f>
        <v>1</v>
      </c>
      <c r="F24" s="5" t="str">
        <f t="shared" si="1"/>
        <v>'2017-01-01</v>
      </c>
      <c r="G24" s="5" t="s">
        <v>13</v>
      </c>
      <c r="H24" s="5">
        <f t="shared" si="2"/>
        <v>23</v>
      </c>
    </row>
    <row r="25" spans="1:8" x14ac:dyDescent="0.3">
      <c r="A25" s="5" t="s">
        <v>2421</v>
      </c>
      <c r="B25" s="5">
        <f t="shared" si="0"/>
        <v>24</v>
      </c>
      <c r="C25" s="5" t="s">
        <v>2391</v>
      </c>
      <c r="D25" s="5">
        <f>users.csv!B25</f>
        <v>24</v>
      </c>
      <c r="E25" s="5">
        <f>VLOOKUP(C25,'roles.csv'!C:E,3,FALSE)</f>
        <v>1</v>
      </c>
      <c r="F25" s="5" t="str">
        <f t="shared" si="1"/>
        <v>'2017-01-01</v>
      </c>
      <c r="G25" s="5" t="s">
        <v>13</v>
      </c>
      <c r="H25" s="5">
        <f t="shared" si="2"/>
        <v>24</v>
      </c>
    </row>
    <row r="26" spans="1:8" x14ac:dyDescent="0.3">
      <c r="A26" s="5" t="s">
        <v>2421</v>
      </c>
      <c r="B26" s="5">
        <f t="shared" si="0"/>
        <v>25</v>
      </c>
      <c r="C26" s="5" t="s">
        <v>2391</v>
      </c>
      <c r="D26" s="5">
        <f>users.csv!B26</f>
        <v>25</v>
      </c>
      <c r="E26" s="5">
        <f>VLOOKUP(C26,'roles.csv'!C:E,3,FALSE)</f>
        <v>1</v>
      </c>
      <c r="F26" s="5" t="str">
        <f t="shared" si="1"/>
        <v>'2017-01-01</v>
      </c>
      <c r="G26" s="5" t="s">
        <v>13</v>
      </c>
      <c r="H26" s="5">
        <f t="shared" si="2"/>
        <v>25</v>
      </c>
    </row>
    <row r="27" spans="1:8" x14ac:dyDescent="0.3">
      <c r="A27" s="5" t="s">
        <v>2421</v>
      </c>
      <c r="B27" s="5">
        <f t="shared" si="0"/>
        <v>26</v>
      </c>
      <c r="C27" s="5" t="s">
        <v>2391</v>
      </c>
      <c r="D27" s="5">
        <f>users.csv!B27</f>
        <v>26</v>
      </c>
      <c r="E27" s="5">
        <f>VLOOKUP(C27,'roles.csv'!C:E,3,FALSE)</f>
        <v>1</v>
      </c>
      <c r="F27" s="5" t="str">
        <f t="shared" si="1"/>
        <v>'2017-01-01</v>
      </c>
      <c r="G27" s="5" t="s">
        <v>13</v>
      </c>
      <c r="H27" s="5">
        <f t="shared" si="2"/>
        <v>26</v>
      </c>
    </row>
    <row r="28" spans="1:8" x14ac:dyDescent="0.3">
      <c r="A28" s="5" t="s">
        <v>2421</v>
      </c>
      <c r="B28" s="5">
        <f t="shared" si="0"/>
        <v>27</v>
      </c>
      <c r="C28" s="5" t="s">
        <v>2391</v>
      </c>
      <c r="D28" s="5">
        <f>users.csv!B28</f>
        <v>27</v>
      </c>
      <c r="E28" s="5">
        <f>VLOOKUP(C28,'roles.csv'!C:E,3,FALSE)</f>
        <v>1</v>
      </c>
      <c r="F28" s="5" t="str">
        <f t="shared" si="1"/>
        <v>'2017-01-01</v>
      </c>
      <c r="G28" s="5" t="s">
        <v>13</v>
      </c>
      <c r="H28" s="5">
        <f t="shared" si="2"/>
        <v>27</v>
      </c>
    </row>
    <row r="29" spans="1:8" x14ac:dyDescent="0.3">
      <c r="A29" s="5" t="s">
        <v>2421</v>
      </c>
      <c r="B29" s="5">
        <f t="shared" si="0"/>
        <v>28</v>
      </c>
      <c r="C29" s="5" t="s">
        <v>2391</v>
      </c>
      <c r="D29" s="5">
        <f>users.csv!B29</f>
        <v>28</v>
      </c>
      <c r="E29" s="5">
        <f>VLOOKUP(C29,'roles.csv'!C:E,3,FALSE)</f>
        <v>1</v>
      </c>
      <c r="F29" s="5" t="str">
        <f t="shared" si="1"/>
        <v>'2017-01-01</v>
      </c>
      <c r="G29" s="5" t="s">
        <v>13</v>
      </c>
      <c r="H29" s="5">
        <f t="shared" si="2"/>
        <v>28</v>
      </c>
    </row>
    <row r="30" spans="1:8" x14ac:dyDescent="0.3">
      <c r="A30" s="5" t="s">
        <v>2421</v>
      </c>
      <c r="B30" s="5">
        <f t="shared" si="0"/>
        <v>29</v>
      </c>
      <c r="C30" s="5" t="s">
        <v>2391</v>
      </c>
      <c r="D30" s="5">
        <f>users.csv!B30</f>
        <v>29</v>
      </c>
      <c r="E30" s="5">
        <f>VLOOKUP(C30,'roles.csv'!C:E,3,FALSE)</f>
        <v>1</v>
      </c>
      <c r="F30" s="5" t="str">
        <f t="shared" si="1"/>
        <v>'2017-01-01</v>
      </c>
      <c r="G30" s="5" t="s">
        <v>13</v>
      </c>
      <c r="H30" s="5">
        <f t="shared" si="2"/>
        <v>29</v>
      </c>
    </row>
    <row r="31" spans="1:8" x14ac:dyDescent="0.3">
      <c r="A31" s="5" t="s">
        <v>2421</v>
      </c>
      <c r="B31" s="5">
        <f t="shared" si="0"/>
        <v>30</v>
      </c>
      <c r="C31" s="5" t="s">
        <v>2391</v>
      </c>
      <c r="D31" s="5">
        <f>users.csv!B31</f>
        <v>30</v>
      </c>
      <c r="E31" s="5">
        <f>VLOOKUP(C31,'roles.csv'!C:E,3,FALSE)</f>
        <v>1</v>
      </c>
      <c r="F31" s="5" t="str">
        <f t="shared" si="1"/>
        <v>'2017-01-01</v>
      </c>
      <c r="G31" s="5" t="s">
        <v>13</v>
      </c>
      <c r="H31" s="5">
        <f t="shared" si="2"/>
        <v>30</v>
      </c>
    </row>
    <row r="32" spans="1:8" x14ac:dyDescent="0.3">
      <c r="A32" s="5" t="s">
        <v>2421</v>
      </c>
      <c r="B32" s="5">
        <f t="shared" si="0"/>
        <v>31</v>
      </c>
      <c r="C32" s="5" t="s">
        <v>2391</v>
      </c>
      <c r="D32" s="5">
        <f>users.csv!B32</f>
        <v>31</v>
      </c>
      <c r="E32" s="5">
        <f>VLOOKUP(C32,'roles.csv'!C:E,3,FALSE)</f>
        <v>1</v>
      </c>
      <c r="F32" s="5" t="str">
        <f t="shared" si="1"/>
        <v>'2017-01-01</v>
      </c>
      <c r="G32" s="5" t="s">
        <v>13</v>
      </c>
      <c r="H32" s="5">
        <f t="shared" si="2"/>
        <v>31</v>
      </c>
    </row>
    <row r="33" spans="1:8" x14ac:dyDescent="0.3">
      <c r="A33" s="5" t="s">
        <v>2421</v>
      </c>
      <c r="B33" s="5">
        <f t="shared" si="0"/>
        <v>32</v>
      </c>
      <c r="C33" s="5" t="s">
        <v>2391</v>
      </c>
      <c r="D33" s="5">
        <f>users.csv!B33</f>
        <v>32</v>
      </c>
      <c r="E33" s="5">
        <f>VLOOKUP(C33,'roles.csv'!C:E,3,FALSE)</f>
        <v>1</v>
      </c>
      <c r="F33" s="5" t="str">
        <f t="shared" si="1"/>
        <v>'2017-01-01</v>
      </c>
      <c r="G33" s="5" t="s">
        <v>13</v>
      </c>
      <c r="H33" s="5">
        <f t="shared" si="2"/>
        <v>32</v>
      </c>
    </row>
    <row r="34" spans="1:8" x14ac:dyDescent="0.3">
      <c r="A34" s="5" t="s">
        <v>2421</v>
      </c>
      <c r="B34" s="5">
        <f t="shared" si="0"/>
        <v>33</v>
      </c>
      <c r="C34" s="5" t="s">
        <v>2391</v>
      </c>
      <c r="D34" s="5">
        <f>users.csv!B34</f>
        <v>33</v>
      </c>
      <c r="E34" s="5">
        <f>VLOOKUP(C34,'roles.csv'!C:E,3,FALSE)</f>
        <v>1</v>
      </c>
      <c r="F34" s="5" t="str">
        <f t="shared" si="1"/>
        <v>'2017-01-01</v>
      </c>
      <c r="G34" s="5" t="s">
        <v>13</v>
      </c>
      <c r="H34" s="5">
        <f t="shared" si="2"/>
        <v>33</v>
      </c>
    </row>
    <row r="35" spans="1:8" x14ac:dyDescent="0.3">
      <c r="A35" s="5" t="s">
        <v>2421</v>
      </c>
      <c r="B35" s="5">
        <f t="shared" si="0"/>
        <v>34</v>
      </c>
      <c r="C35" s="5" t="s">
        <v>2391</v>
      </c>
      <c r="D35" s="5">
        <f>users.csv!B35</f>
        <v>34</v>
      </c>
      <c r="E35" s="5">
        <f>VLOOKUP(C35,'roles.csv'!C:E,3,FALSE)</f>
        <v>1</v>
      </c>
      <c r="F35" s="5" t="str">
        <f t="shared" si="1"/>
        <v>'2017-01-01</v>
      </c>
      <c r="G35" s="5" t="s">
        <v>13</v>
      </c>
      <c r="H35" s="5">
        <f t="shared" si="2"/>
        <v>34</v>
      </c>
    </row>
    <row r="36" spans="1:8" x14ac:dyDescent="0.3">
      <c r="A36" s="5" t="s">
        <v>2421</v>
      </c>
      <c r="B36" s="5">
        <f t="shared" si="0"/>
        <v>35</v>
      </c>
      <c r="C36" s="5" t="s">
        <v>2391</v>
      </c>
      <c r="D36" s="5">
        <f>users.csv!B36</f>
        <v>35</v>
      </c>
      <c r="E36" s="5">
        <f>VLOOKUP(C36,'roles.csv'!C:E,3,FALSE)</f>
        <v>1</v>
      </c>
      <c r="F36" s="5" t="str">
        <f t="shared" si="1"/>
        <v>'2017-01-01</v>
      </c>
      <c r="G36" s="5" t="s">
        <v>13</v>
      </c>
      <c r="H36" s="5">
        <f t="shared" si="2"/>
        <v>35</v>
      </c>
    </row>
    <row r="37" spans="1:8" x14ac:dyDescent="0.3">
      <c r="A37" s="5" t="s">
        <v>2421</v>
      </c>
      <c r="B37" s="5">
        <f t="shared" si="0"/>
        <v>36</v>
      </c>
      <c r="C37" s="5" t="s">
        <v>2391</v>
      </c>
      <c r="D37" s="5">
        <f>users.csv!B37</f>
        <v>36</v>
      </c>
      <c r="E37" s="5">
        <f>VLOOKUP(C37,'roles.csv'!C:E,3,FALSE)</f>
        <v>1</v>
      </c>
      <c r="F37" s="5" t="str">
        <f t="shared" si="1"/>
        <v>'2017-01-01</v>
      </c>
      <c r="G37" s="5" t="s">
        <v>13</v>
      </c>
      <c r="H37" s="5">
        <f t="shared" si="2"/>
        <v>36</v>
      </c>
    </row>
    <row r="38" spans="1:8" x14ac:dyDescent="0.3">
      <c r="A38" s="5" t="s">
        <v>2421</v>
      </c>
      <c r="B38" s="5">
        <f t="shared" si="0"/>
        <v>37</v>
      </c>
      <c r="C38" s="5" t="s">
        <v>2391</v>
      </c>
      <c r="D38" s="5">
        <f>users.csv!B38</f>
        <v>37</v>
      </c>
      <c r="E38" s="5">
        <f>VLOOKUP(C38,'roles.csv'!C:E,3,FALSE)</f>
        <v>1</v>
      </c>
      <c r="F38" s="5" t="str">
        <f t="shared" si="1"/>
        <v>'2017-01-01</v>
      </c>
      <c r="G38" s="5" t="s">
        <v>13</v>
      </c>
      <c r="H38" s="5">
        <f t="shared" si="2"/>
        <v>37</v>
      </c>
    </row>
    <row r="39" spans="1:8" x14ac:dyDescent="0.3">
      <c r="A39" s="5" t="s">
        <v>2421</v>
      </c>
      <c r="B39" s="5">
        <f t="shared" si="0"/>
        <v>38</v>
      </c>
      <c r="C39" s="5" t="s">
        <v>2391</v>
      </c>
      <c r="D39" s="5">
        <f>users.csv!B39</f>
        <v>38</v>
      </c>
      <c r="E39" s="5">
        <f>VLOOKUP(C39,'roles.csv'!C:E,3,FALSE)</f>
        <v>1</v>
      </c>
      <c r="F39" s="5" t="str">
        <f t="shared" si="1"/>
        <v>'2017-01-01</v>
      </c>
      <c r="G39" s="5" t="s">
        <v>13</v>
      </c>
      <c r="H39" s="5">
        <f t="shared" si="2"/>
        <v>38</v>
      </c>
    </row>
    <row r="40" spans="1:8" x14ac:dyDescent="0.3">
      <c r="A40" s="5" t="s">
        <v>2421</v>
      </c>
      <c r="B40" s="5">
        <f t="shared" si="0"/>
        <v>39</v>
      </c>
      <c r="C40" s="5" t="s">
        <v>2391</v>
      </c>
      <c r="D40" s="5">
        <f>users.csv!B40</f>
        <v>39</v>
      </c>
      <c r="E40" s="5">
        <f>VLOOKUP(C40,'roles.csv'!C:E,3,FALSE)</f>
        <v>1</v>
      </c>
      <c r="F40" s="5" t="str">
        <f t="shared" si="1"/>
        <v>'2017-01-01</v>
      </c>
      <c r="G40" s="5" t="s">
        <v>13</v>
      </c>
      <c r="H40" s="5">
        <f t="shared" si="2"/>
        <v>39</v>
      </c>
    </row>
    <row r="41" spans="1:8" x14ac:dyDescent="0.3">
      <c r="A41" s="5" t="s">
        <v>2422</v>
      </c>
      <c r="B41" s="5">
        <f t="shared" si="0"/>
        <v>40</v>
      </c>
      <c r="C41" s="5" t="s">
        <v>2391</v>
      </c>
      <c r="D41" s="5">
        <f>users.csv!B41</f>
        <v>0</v>
      </c>
      <c r="E41" s="5">
        <f>VLOOKUP(C41,'roles.csv'!C:E,3,FALSE)</f>
        <v>1</v>
      </c>
      <c r="F41" s="5" t="str">
        <f t="shared" si="1"/>
        <v>'2017-01-01</v>
      </c>
      <c r="G41" s="5" t="s">
        <v>13</v>
      </c>
      <c r="H41" s="5">
        <f t="shared" si="2"/>
        <v>40</v>
      </c>
    </row>
    <row r="42" spans="1:8" x14ac:dyDescent="0.3">
      <c r="A42" s="5" t="s">
        <v>2422</v>
      </c>
      <c r="B42" s="5">
        <f t="shared" si="0"/>
        <v>41</v>
      </c>
      <c r="C42" s="5" t="s">
        <v>2391</v>
      </c>
      <c r="D42" s="5">
        <f>users.csv!B42</f>
        <v>0</v>
      </c>
      <c r="E42" s="5">
        <f>VLOOKUP(C42,'roles.csv'!C:E,3,FALSE)</f>
        <v>1</v>
      </c>
      <c r="F42" s="5" t="str">
        <f t="shared" si="1"/>
        <v>'2017-01-01</v>
      </c>
      <c r="G42" s="5" t="s">
        <v>13</v>
      </c>
      <c r="H42" s="5">
        <f t="shared" si="2"/>
        <v>41</v>
      </c>
    </row>
    <row r="43" spans="1:8" x14ac:dyDescent="0.3">
      <c r="A43" s="5" t="s">
        <v>2422</v>
      </c>
      <c r="B43" s="5">
        <f t="shared" si="0"/>
        <v>42</v>
      </c>
      <c r="C43" s="5" t="s">
        <v>2391</v>
      </c>
      <c r="D43" s="5">
        <f>users.csv!B43</f>
        <v>0</v>
      </c>
      <c r="E43" s="5">
        <f>VLOOKUP(C43,'roles.csv'!C:E,3,FALSE)</f>
        <v>1</v>
      </c>
      <c r="F43" s="5" t="str">
        <f t="shared" si="1"/>
        <v>'2017-01-01</v>
      </c>
      <c r="G43" s="5" t="s">
        <v>13</v>
      </c>
      <c r="H43" s="5">
        <f t="shared" si="2"/>
        <v>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" bestFit="1" customWidth="1"/>
    <col min="2" max="2" width="2.5546875" bestFit="1" customWidth="1"/>
    <col min="3" max="3" width="23.44140625" bestFit="1" customWidth="1"/>
    <col min="4" max="4" width="19.109375" bestFit="1" customWidth="1"/>
    <col min="5" max="5" width="132.6640625" bestFit="1" customWidth="1"/>
    <col min="6" max="6" width="3.33203125" bestFit="1" customWidth="1"/>
  </cols>
  <sheetData>
    <row r="1" spans="1:6" s="2" customFormat="1" x14ac:dyDescent="0.3">
      <c r="A1" s="2" t="s">
        <v>11</v>
      </c>
      <c r="B1" s="2" t="s">
        <v>2409</v>
      </c>
      <c r="C1" s="2" t="s">
        <v>2399</v>
      </c>
      <c r="D1" s="2" t="s">
        <v>12</v>
      </c>
      <c r="E1" s="2" t="s">
        <v>2400</v>
      </c>
      <c r="F1" s="2" t="s">
        <v>2425</v>
      </c>
    </row>
    <row r="2" spans="1:6" x14ac:dyDescent="0.3">
      <c r="A2" t="s">
        <v>2390</v>
      </c>
      <c r="B2">
        <f t="shared" ref="B2:B5" si="0">IF(ISNUMBER(B1),B1+1,1)</f>
        <v>1</v>
      </c>
      <c r="C2" t="s">
        <v>2414</v>
      </c>
      <c r="D2" t="s">
        <v>2413</v>
      </c>
      <c r="E2" t="s">
        <v>2392</v>
      </c>
      <c r="F2">
        <f>B2</f>
        <v>1</v>
      </c>
    </row>
    <row r="3" spans="1:6" x14ac:dyDescent="0.3">
      <c r="A3" t="s">
        <v>2390</v>
      </c>
      <c r="B3">
        <f t="shared" si="0"/>
        <v>2</v>
      </c>
      <c r="C3" t="s">
        <v>2415</v>
      </c>
      <c r="D3" t="s">
        <v>2394</v>
      </c>
      <c r="E3" t="s">
        <v>2395</v>
      </c>
      <c r="F3">
        <f t="shared" ref="F3:F5" si="1">B3</f>
        <v>2</v>
      </c>
    </row>
    <row r="4" spans="1:6" x14ac:dyDescent="0.3">
      <c r="A4" t="s">
        <v>2390</v>
      </c>
      <c r="B4">
        <f t="shared" si="0"/>
        <v>3</v>
      </c>
      <c r="C4" t="s">
        <v>2416</v>
      </c>
      <c r="D4" t="s">
        <v>2413</v>
      </c>
      <c r="E4" t="s">
        <v>2419</v>
      </c>
      <c r="F4">
        <f t="shared" si="1"/>
        <v>3</v>
      </c>
    </row>
    <row r="5" spans="1:6" x14ac:dyDescent="0.3">
      <c r="A5" t="s">
        <v>2390</v>
      </c>
      <c r="B5">
        <f t="shared" si="0"/>
        <v>4</v>
      </c>
      <c r="C5" t="s">
        <v>2417</v>
      </c>
      <c r="D5" t="s">
        <v>2418</v>
      </c>
      <c r="E5" t="s">
        <v>2420</v>
      </c>
      <c r="F5">
        <f t="shared" si="1"/>
        <v>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G6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4.33203125" bestFit="1" customWidth="1"/>
    <col min="2" max="2" width="2.6640625" bestFit="1" customWidth="1"/>
    <col min="3" max="3" width="6.88671875" bestFit="1" customWidth="1"/>
    <col min="4" max="4" width="24.88671875" bestFit="1" customWidth="1"/>
    <col min="5" max="5" width="6.33203125" bestFit="1" customWidth="1"/>
    <col min="6" max="6" width="12.5546875" bestFit="1" customWidth="1"/>
    <col min="7" max="7" width="2.66406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2406</v>
      </c>
      <c r="D1" s="2" t="s">
        <v>2407</v>
      </c>
      <c r="E1" s="2" t="s">
        <v>2492</v>
      </c>
      <c r="F1" s="2" t="s">
        <v>2497</v>
      </c>
      <c r="G1" s="2" t="s">
        <v>2409</v>
      </c>
    </row>
    <row r="2" spans="1:7" x14ac:dyDescent="0.3">
      <c r="A2" t="s">
        <v>2412</v>
      </c>
      <c r="B2">
        <f>IF(ISNUMBER(B1),B1+1,1)</f>
        <v>1</v>
      </c>
      <c r="C2" t="s">
        <v>2391</v>
      </c>
      <c r="D2" t="s">
        <v>2414</v>
      </c>
      <c r="E2">
        <f>VLOOKUP(C2,'roles.csv'!C:E,3,FALSE)</f>
        <v>1</v>
      </c>
      <c r="F2" s="1">
        <f>VLOOKUP(D2,permissions.csv!C:F,4,FALSE)</f>
        <v>1</v>
      </c>
      <c r="G2">
        <f>B2</f>
        <v>1</v>
      </c>
    </row>
    <row r="3" spans="1:7" x14ac:dyDescent="0.3">
      <c r="A3" t="s">
        <v>2412</v>
      </c>
      <c r="B3">
        <f t="shared" ref="B3:B6" si="0">IF(ISNUMBER(B2),B2+1,1)</f>
        <v>2</v>
      </c>
      <c r="C3" t="s">
        <v>2393</v>
      </c>
      <c r="D3" t="s">
        <v>2414</v>
      </c>
      <c r="E3">
        <f>VLOOKUP(C3,'roles.csv'!C:E,3,FALSE)</f>
        <v>2</v>
      </c>
      <c r="F3" s="1">
        <f>VLOOKUP(D3,permissions.csv!C:F,4,FALSE)</f>
        <v>1</v>
      </c>
      <c r="G3">
        <f t="shared" ref="G3:G6" si="1">B3</f>
        <v>2</v>
      </c>
    </row>
    <row r="4" spans="1:7" x14ac:dyDescent="0.3">
      <c r="A4" t="s">
        <v>2412</v>
      </c>
      <c r="B4">
        <f t="shared" si="0"/>
        <v>3</v>
      </c>
      <c r="C4" t="s">
        <v>2393</v>
      </c>
      <c r="D4" t="s">
        <v>2415</v>
      </c>
      <c r="E4">
        <f>VLOOKUP(C4,'roles.csv'!C:E,3,FALSE)</f>
        <v>2</v>
      </c>
      <c r="F4" s="1">
        <f>VLOOKUP(D4,permissions.csv!C:F,4,FALSE)</f>
        <v>2</v>
      </c>
      <c r="G4">
        <f t="shared" si="1"/>
        <v>3</v>
      </c>
    </row>
    <row r="5" spans="1:7" x14ac:dyDescent="0.3">
      <c r="A5" t="s">
        <v>2412</v>
      </c>
      <c r="B5">
        <f t="shared" si="0"/>
        <v>4</v>
      </c>
      <c r="C5" t="s">
        <v>2393</v>
      </c>
      <c r="D5" t="s">
        <v>2416</v>
      </c>
      <c r="E5">
        <f>VLOOKUP(C5,'roles.csv'!C:E,3,FALSE)</f>
        <v>2</v>
      </c>
      <c r="F5" s="1">
        <f>VLOOKUP(D5,permissions.csv!C:F,4,FALSE)</f>
        <v>3</v>
      </c>
      <c r="G5">
        <f t="shared" si="1"/>
        <v>4</v>
      </c>
    </row>
    <row r="6" spans="1:7" x14ac:dyDescent="0.3">
      <c r="A6" t="s">
        <v>2412</v>
      </c>
      <c r="B6">
        <f t="shared" si="0"/>
        <v>5</v>
      </c>
      <c r="C6" t="s">
        <v>2393</v>
      </c>
      <c r="D6" t="s">
        <v>2417</v>
      </c>
      <c r="E6">
        <f>VLOOKUP(C6,'roles.csv'!C:E,3,FALSE)</f>
        <v>2</v>
      </c>
      <c r="F6" s="1">
        <f>VLOOKUP(D6,permissions.csv!C:F,4,FALSE)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Names</vt:lpstr>
      <vt:lpstr>VerifiableOrg.csv</vt:lpstr>
      <vt:lpstr>VerifiableOrgType.csv</vt:lpstr>
      <vt:lpstr>Location.csv</vt:lpstr>
      <vt:lpstr>LocationType.csv</vt:lpstr>
      <vt:lpstr>DoingBusinessAs.csv</vt:lpstr>
      <vt:lpstr>LocationOrg.csv</vt:lpstr>
      <vt:lpstr>VerifiableClaim.csv</vt:lpstr>
      <vt:lpstr>VerifiableClaimType.csv</vt:lpstr>
      <vt:lpstr>InactiveClaimReason.csv</vt:lpstr>
      <vt:lpstr>IssuerService.csv</vt:lpstr>
      <vt:lpstr>Jurisdiction.csv</vt:lpstr>
      <vt:lpstr>users.csv</vt:lpstr>
      <vt:lpstr>roles.csv</vt:lpstr>
      <vt:lpstr>userRole.csv</vt:lpstr>
      <vt:lpstr>permissions.csv</vt:lpstr>
      <vt:lpstr>rolepermission.csv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2017-11-09T16:32:15Z</dcterms:modified>
</cp:coreProperties>
</file>